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5.xml" ContentType="application/vnd.openxmlformats-officedocument.spreadsheetml.table+xml"/>
  <Override PartName="/xl/worksheets/sheet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00c4257f10445a3" /></Relationships>
</file>

<file path=xl/workbook.xml><?xml version="1.0" encoding="utf-8"?>
<x:workbook xmlns:x="http://schemas.openxmlformats.org/spreadsheetml/2006/main">
  <x:sheets>
    <x:sheet xmlns:r="http://schemas.openxmlformats.org/officeDocument/2006/relationships" name="README" sheetId="1" r:id="Rfdf13a36893a4ced"/>
    <x:sheet xmlns:r="http://schemas.openxmlformats.org/officeDocument/2006/relationships" name="CSF Gap Matrix" sheetId="2" r:id="R51b26656e1aa4296"/>
    <x:sheet xmlns:r="http://schemas.openxmlformats.org/officeDocument/2006/relationships" name="Risk Register" sheetId="3" r:id="R098ceb7cf35d46a0"/>
    <x:sheet xmlns:r="http://schemas.openxmlformats.org/officeDocument/2006/relationships" name="Remediation Roadmap" sheetId="4" r:id="Rf67562bd3e544cef"/>
    <x:sheet xmlns:r="http://schemas.openxmlformats.org/officeDocument/2006/relationships" name="Evidence Inventory" sheetId="5" r:id="Rc96df73f93ee485d"/>
    <x:sheet xmlns:r="http://schemas.openxmlformats.org/officeDocument/2006/relationships" name="Maturity Scoring" sheetId="6" r:id="R5f7dd12b14874891"/>
    <x:sheet xmlns:r="http://schemas.openxmlformats.org/officeDocument/2006/relationships" name="Executive Dashboard" sheetId="7" r:id="R5e1cd94b3948478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0"/>
  </x:numFmts>
  <x:fonts count="5">
    <x:font>
      <x:sz val="11"/>
      <x:name val="Carlito"/>
    </x:font>
    <x:font>
      <x:b/>
      <x:sz val="16"/>
      <x:color rgb="FFFFFFFF"/>
      <x:name val="Carlito"/>
    </x:font>
    <x:font>
      <x:b/>
      <x:sz val="11"/>
      <x:color rgb="FF111827"/>
      <x:name val="Carlito"/>
    </x:font>
    <x:font>
      <x:b/>
      <x:sz val="11"/>
      <x:color rgb="FFFFFFFF"/>
      <x:name val="Carlito"/>
    </x:font>
    <x:font>
      <x:b/>
      <x:sz val="14"/>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8FAFC"/>
      </x:patternFill>
    </x:fill>
  </x:fills>
  <x:borders count="2">
    <x:border/>
    <x:border/>
  </x:borders>
  <x:cellStyleXfs count="1">
    <x:xf numFmtId="0" fontId="0" fillId="0" borderId="0"/>
  </x:cellStyleXfs>
  <x:cellXfs count="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center"/>
    </x:xf>
    <x:xf numFmtId="201" fontId="4" fillId="4" borderId="0" xfId="0" applyNumberFormat="1" applyFont="1" applyFill="1" applyBorder="1" applyAlignment="1">
      <x:alignment horizontal="center"/>
    </x:xf>
    <x:xf numFmtId="201" fontId="4" fillId="4" borderId="1" xfId="0" applyNumberFormat="1" applyFont="1" applyFill="1" applyBorder="1" applyAlignment="1">
      <x:alignment horizontal="center"/>
    </x:xf>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2" borderId="0" xfId="0" applyNumberFormat="1" applyFont="1" applyFill="1" applyBorder="1" applyAlignment="1">
      <x:alignment horizontal="center" vertical="top" wrapText="1"/>
    </x:xf>
    <x:xf numFmtId="0" fontId="3" fillId="2" borderId="1" xfId="0" applyNumberFormat="1" applyFont="1" applyFill="1" applyBorder="1" applyAlignment="1">
      <x:alignment horizontal="center" vertical="top" wrapText="1"/>
    </x:xf>
  </x:cellXfs>
  <x:cellStyles count="1">
    <x:cellStyle name="Normal" xfId="0"/>
  </x:cellStyles>
  <x:dxfs count="7">
    <x:dxf>
      <x:font>
        <x:b/>
        <x:color rgb="FFFFFFFF"/>
      </x:font>
      <x:fill>
        <x:patternFill patternType="solid">
          <x:bgColor rgb="FF991B1B"/>
        </x:patternFill>
      </x:fill>
    </x:dxf>
    <x:dxf>
      <x:fill>
        <x:patternFill patternType="solid">
          <x:bgColor rgb="FFFCA5A5"/>
        </x:patternFill>
      </x:fill>
    </x:dxf>
    <x:dxf>
      <x:fill>
        <x:patternFill patternType="solid">
          <x:bgColor rgb="FFFEF3C7"/>
        </x:patternFill>
      </x:fill>
    </x:dxf>
    <x:dxf>
      <x:fill>
        <x:patternFill patternType="solid">
          <x:bgColor rgb="FFDCFCE7"/>
        </x:patternFill>
      </x:fill>
    </x:dxf>
    <x:dxf>
      <x:fill>
        <x:patternFill patternType="solid">
          <x:bgColor rgb="FFFCA5A5"/>
        </x:patternFill>
      </x:fill>
    </x:dxf>
    <x:dxf>
      <x:fill>
        <x:patternFill patternType="solid">
          <x:bgColor rgb="FFFEF3C7"/>
        </x:patternFill>
      </x:fill>
    </x:dxf>
    <x:dxf>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1d691e240d0415b" /><Relationship Type="http://schemas.openxmlformats.org/officeDocument/2006/relationships/theme" Target="/xl/theme/theme1.xml" Id="R080dab9c34c7479e" /><Relationship Type="http://schemas.openxmlformats.org/officeDocument/2006/relationships/sharedStrings" Target="/xl/sharedStrings.xml" Id="R7b4373463f324695" /><Relationship Type="http://schemas.openxmlformats.org/officeDocument/2006/relationships/worksheet" Target="/xl/worksheets/sheet1.xml" Id="Rfdf13a36893a4ced" /><Relationship Type="http://schemas.openxmlformats.org/officeDocument/2006/relationships/worksheet" Target="/xl/worksheets/sheet2.xml" Id="R51b26656e1aa4296" /><Relationship Type="http://schemas.openxmlformats.org/officeDocument/2006/relationships/worksheet" Target="/xl/worksheets/sheet3.xml" Id="R098ceb7cf35d46a0" /><Relationship Type="http://schemas.openxmlformats.org/officeDocument/2006/relationships/worksheet" Target="/xl/worksheets/sheet4.xml" Id="Rf67562bd3e544cef" /><Relationship Type="http://schemas.openxmlformats.org/officeDocument/2006/relationships/worksheet" Target="/xl/worksheets/sheet5.xml" Id="Rc96df73f93ee485d" /><Relationship Type="http://schemas.openxmlformats.org/officeDocument/2006/relationships/worksheet" Target="/xl/worksheets/sheet6.xml" Id="R5f7dd12b14874891" /><Relationship Type="http://schemas.openxmlformats.org/officeDocument/2006/relationships/worksheet" Target="/xl/worksheets/sheet7.xml" Id="R5e1cd94b39484789" /></Relationships>
</file>

<file path=xl/drawings/_rels/drawing1.xml.rels>&#65279;<?xml version="1.0" encoding="utf-8"?><Relationships xmlns="http://schemas.openxmlformats.org/package/2006/relationships"><Relationship Type="http://schemas.openxmlformats.org/officeDocument/2006/relationships/chart" Target="/xl/drawings/charts/chart1.xml" Id="R58f341eadc54473e" /></Relationships>
</file>

<file path=xl/drawings/_rels/drawing2.xml.rels>&#65279;<?xml version="1.0" encoding="utf-8"?><Relationships xmlns="http://schemas.openxmlformats.org/package/2006/relationships"><Relationship Type="http://schemas.openxmlformats.org/officeDocument/2006/relationships/chart" Target="/xl/drawings/charts/chart2.xml" Id="Rb033b606bfb24e7c" /></Relationships>
</file>

<file path=xl/drawings/charts/chart1.xml><?xml version="1.0" encoding="utf-8"?>
<c:chartSpace xmlns:c="http://schemas.openxmlformats.org/drawingml/2006/chart">
  <c:lang val="en-US"/>
  <c:roundedCorners val="0"/>
  <c:chart>
    <c:plotArea>
      <c:layout/>
      <c:barChart>
        <c:barDir val="col"/>
        <c:grouping val="clustered"/>
        <c:varyColors val="0"/>
        <c:ser>
          <c:idx val="0"/>
          <c:order val="0"/>
          <c:tx>
            <c:v>Avg Current Maturity</c:v>
          </c:tx>
          <c:cat>
            <c:strRef>
              <c:f>'Maturity Scoring'!$A$2:$A$7</c:f>
              <c:strCache>
                <c:ptCount val="0"/>
              </c:strCache>
            </c:strRef>
          </c:cat>
          <c:val>
            <c:numRef>
              <c:f>'Maturity Scoring'!$B$2:$B$7</c:f>
              <c:numCache>
                <c:formatCode>0.0</c:formatCode>
                <c:ptCount val="0"/>
              </c:numCache>
            </c:numRef>
          </c:val>
        </c:ser>
        <c:ser>
          <c:idx val="1"/>
          <c:order val="1"/>
          <c:tx>
            <c:v>Avg Target Maturity</c:v>
          </c:tx>
          <c:cat>
            <c:strRef>
              <c:f>'Maturity Scoring'!$A$2:$A$7</c:f>
              <c:strCache>
                <c:ptCount val="0"/>
              </c:strCache>
            </c:strRef>
          </c:cat>
          <c:val>
            <c:numRef>
              <c:f>'Maturity Scoring'!$C$2:$C$7</c:f>
              <c:numCache>
                <c:formatCode>0.0</c:formatCode>
                <c:ptCount val="0"/>
              </c:numCache>
            </c:numRef>
          </c:val>
        </c:ser>
        <c:ser>
          <c:idx val="2"/>
          <c:order val="2"/>
          <c:tx>
            <c:v>Avg Gap</c:v>
          </c:tx>
          <c:cat>
            <c:strRef>
              <c:f>'Maturity Scoring'!$A$2:$A$7</c:f>
              <c:strCache>
                <c:ptCount val="0"/>
              </c:strCache>
            </c:strRef>
          </c:cat>
          <c:val>
            <c:numRef>
              <c:f>'Maturity Scoring'!$D$2:$D$7</c:f>
              <c:numCache>
                <c:formatCode>0.0</c:formatCode>
                <c:ptCount val="0"/>
              </c:numCache>
            </c:numRef>
          </c:val>
        </c:ser>
        <c:ser>
          <c:idx val="3"/>
          <c:order val="3"/>
          <c:tx>
            <c:v>Avg Risk Score</c:v>
          </c:tx>
          <c:cat>
            <c:strRef>
              <c:f>'Maturity Scoring'!$A$2:$A$7</c:f>
              <c:strCache>
                <c:ptCount val="0"/>
              </c:strCache>
            </c:strRef>
          </c:cat>
          <c:val>
            <c:numRef>
              <c:f>'Maturity Scoring'!$E$2:$E$7</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ayout/>
      <c:barChart>
        <c:barDir val="col"/>
        <c:grouping val="clustered"/>
        <c:varyColors val="0"/>
        <c:ser>
          <c:idx val="0"/>
          <c:order val="0"/>
          <c:tx>
            <c:v>Current</c:v>
          </c:tx>
          <c:cat>
            <c:strRef>
              <c:f>'Executive Dashboard'!$A$12:$A$17</c:f>
              <c:strCache>
                <c:ptCount val="0"/>
              </c:strCache>
            </c:strRef>
          </c:cat>
          <c:val>
            <c:numRef>
              <c:f>'Executive Dashboard'!$B$12:$B$17</c:f>
              <c:numCache>
                <c:formatCode>0.0</c:formatCode>
                <c:ptCount val="0"/>
              </c:numCache>
            </c:numRef>
          </c:val>
        </c:ser>
        <c:ser>
          <c:idx val="1"/>
          <c:order val="1"/>
          <c:tx>
            <c:v>Target</c:v>
          </c:tx>
          <c:cat>
            <c:strRef>
              <c:f>'Executive Dashboard'!$A$12:$A$17</c:f>
              <c:strCache>
                <c:ptCount val="0"/>
              </c:strCache>
            </c:strRef>
          </c:cat>
          <c:val>
            <c:numRef>
              <c:f>'Executive Dashboard'!$C$12:$C$17</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1</xdr:row>
      <xdr:rowOff>0</xdr:rowOff>
    </xdr:from>
    <xdr:to>
      <xdr:col>16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8f341eadc54473e"/>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10</xdr:row>
      <xdr:rowOff>0</xdr:rowOff>
    </xdr:from>
    <xdr:to>
      <xdr:col>15</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033b606bfb24e7c"/>
        </a:graphicData>
      </a:graphic>
    </xdr:graphicFrame>
    <xdr:clientData/>
  </xdr:twoCellAnchor>
</xdr:wsDr>
</file>

<file path=xl/tables/table1.xml><?xml version="1.0" encoding="utf-8"?>
<x:table xmlns:x="http://schemas.openxmlformats.org/spreadsheetml/2006/main" id="1" name="GapMatrixTable" displayName="GapMatrixTable" ref="A1:R28" headerRowCount="1">
  <x:tableColumns count="18">
    <x:tableColumn id="1" name="ID"/>
    <x:tableColumn id="2" name="CSF Function"/>
    <x:tableColumn id="3" name="Category"/>
    <x:tableColumn id="4" name="Subcategory / Outcome"/>
    <x:tableColumn id="5" name="Current State"/>
    <x:tableColumn id="6" name="Current Maturity"/>
    <x:tableColumn id="7" name="Target Maturity"/>
    <x:tableColumn id="8" name="Gap"/>
    <x:tableColumn id="9" name="Impact"/>
    <x:tableColumn id="10" name="Likelihood"/>
    <x:tableColumn id="11" name="Risk Score"/>
    <x:tableColumn id="12" name="Priority"/>
    <x:tableColumn id="13" name="Evidence Reviewed"/>
    <x:tableColumn id="14" name="Recommended Remediation"/>
    <x:tableColumn id="15" name="Control Owner"/>
    <x:tableColumn id="16" name="Due Date"/>
    <x:tableColumn id="17" name="Status"/>
    <x:tableColumn id="18" name="Notes"/>
  </x:tableColumns>
  <x:tableStyleInfo name="TableStyleMedium2" showRowStripes="1"/>
</x:table>
</file>

<file path=xl/tables/table2.xml><?xml version="1.0" encoding="utf-8"?>
<x:table xmlns:x="http://schemas.openxmlformats.org/spreadsheetml/2006/main" id="2" name="RiskRegisterTable" displayName="RiskRegisterTable" ref="A1:L11" headerRowCount="1">
  <x:tableColumns count="12">
    <x:tableColumn id="1" name="Risk ID"/>
    <x:tableColumn id="2" name="Risk Statement"/>
    <x:tableColumn id="3" name="CSF Function"/>
    <x:tableColumn id="4" name="Impact"/>
    <x:tableColumn id="5" name="Likelihood"/>
    <x:tableColumn id="6" name="Inherent Risk"/>
    <x:tableColumn id="7" name="Existing Controls"/>
    <x:tableColumn id="8" name="Residual Risk"/>
    <x:tableColumn id="9" name="Treatment Plan"/>
    <x:tableColumn id="10" name="Owner"/>
    <x:tableColumn id="11" name="Due Date"/>
    <x:tableColumn id="12" name="Status"/>
  </x:tableColumns>
  <x:tableStyleInfo name="TableStyleMedium2" showRowStripes="1"/>
</x:table>
</file>

<file path=xl/tables/table3.xml><?xml version="1.0" encoding="utf-8"?>
<x:table xmlns:x="http://schemas.openxmlformats.org/spreadsheetml/2006/main" id="3" name="RoadmapTable" displayName="RoadmapTable" ref="A1:I12" headerRowCount="1">
  <x:tableColumns count="9">
    <x:tableColumn id="1" name="Phase"/>
    <x:tableColumn id="2" name="Timeframe"/>
    <x:tableColumn id="3" name="Initiative"/>
    <x:tableColumn id="4" name="Related CSF Function"/>
    <x:tableColumn id="5" name="Priority"/>
    <x:tableColumn id="6" name="Owner"/>
    <x:tableColumn id="7" name="Success Criteria"/>
    <x:tableColumn id="8" name="Dependency"/>
    <x:tableColumn id="9" name="Status"/>
  </x:tableColumns>
  <x:tableStyleInfo name="TableStyleMedium2" showRowStripes="1"/>
</x:table>
</file>

<file path=xl/tables/table4.xml><?xml version="1.0" encoding="utf-8"?>
<x:table xmlns:x="http://schemas.openxmlformats.org/spreadsheetml/2006/main" id="4" name="EvidenceTable" displayName="EvidenceTable" ref="A1:J15" headerRowCount="1">
  <x:tableColumns count="10">
    <x:tableColumn id="1" name="Evidence ID"/>
    <x:tableColumn id="2" name="Evidence Artifact"/>
    <x:tableColumn id="3" name="Mapped CSF Function"/>
    <x:tableColumn id="4" name="Control Area"/>
    <x:tableColumn id="5" name="Evidence Type"/>
    <x:tableColumn id="6" name="Frequency"/>
    <x:tableColumn id="7" name="Owner"/>
    <x:tableColumn id="8" name="Status"/>
    <x:tableColumn id="9" name="Storage Location"/>
    <x:tableColumn id="10" name="Notes"/>
  </x:tableColumns>
  <x:tableStyleInfo name="TableStyleMedium2" showRowStripes="1"/>
</x:table>
</file>

<file path=xl/tables/table5.xml><?xml version="1.0" encoding="utf-8"?>
<x:table xmlns:x="http://schemas.openxmlformats.org/spreadsheetml/2006/main" id="5" name="MaturityTable" displayName="MaturityTable" ref="A1:G7" headerRowCount="1">
  <x:tableColumns count="7">
    <x:tableColumn id="1" name="CSF Function"/>
    <x:tableColumn id="2" name="Avg Current Maturity"/>
    <x:tableColumn id="3" name="Avg Target Maturity"/>
    <x:tableColumn id="4" name="Avg Gap"/>
    <x:tableColumn id="5" name="Avg Risk Score"/>
    <x:tableColumn id="6" name="Critical/High Findings"/>
    <x:tableColumn id="7" name="Assessment Comment"/>
  </x:tableColumns>
  <x:tableStyleInfo name="TableStyleMedium2" showRowStripes="1"/>
</x:table>
</file>

<file path=xl/tables/table6.xml><?xml version="1.0" encoding="utf-8"?>
<x:table xmlns:x="http://schemas.openxmlformats.org/spreadsheetml/2006/main" id="6" name="DashboardSummaryTable" displayName="DashboardSummaryTable" ref="A11:F17" headerRowCount="1">
  <x:tableColumns count="6">
    <x:tableColumn id="1" name="Function"/>
    <x:tableColumn id="2" name="Current"/>
    <x:tableColumn id="3" name="Target"/>
    <x:tableColumn id="4" name="Gap"/>
    <x:tableColumn id="5" name="Avg Risk"/>
    <x:tableColumn id="6" name="Critical/High"/>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bbb13572c7d4954" /></Relationships>
</file>

<file path=xl/worksheets/_rels/sheet3.xml.rels>&#65279;<?xml version="1.0" encoding="utf-8"?><Relationships xmlns="http://schemas.openxmlformats.org/package/2006/relationships"><Relationship Type="http://schemas.openxmlformats.org/officeDocument/2006/relationships/table" Target="/xl/tables/table2.xml" Id="R3a9c7223bce6488e" /></Relationships>
</file>

<file path=xl/worksheets/_rels/sheet4.xml.rels>&#65279;<?xml version="1.0" encoding="utf-8"?><Relationships xmlns="http://schemas.openxmlformats.org/package/2006/relationships"><Relationship Type="http://schemas.openxmlformats.org/officeDocument/2006/relationships/table" Target="/xl/tables/table3.xml" Id="Rfa2dfdd528724cbb" /></Relationships>
</file>

<file path=xl/worksheets/_rels/sheet5.xml.rels>&#65279;<?xml version="1.0" encoding="utf-8"?><Relationships xmlns="http://schemas.openxmlformats.org/package/2006/relationships"><Relationship Type="http://schemas.openxmlformats.org/officeDocument/2006/relationships/table" Target="/xl/tables/table4.xml" Id="R496acf25baab488e" /></Relationships>
</file>

<file path=xl/worksheets/_rels/sheet6.xml.rels>&#65279;<?xml version="1.0" encoding="utf-8"?><Relationships xmlns="http://schemas.openxmlformats.org/package/2006/relationships"><Relationship Type="http://schemas.openxmlformats.org/officeDocument/2006/relationships/drawing" Target="/xl/drawings/drawing1.xml" Id="R5a2fecaffd8441e4" /><Relationship Type="http://schemas.openxmlformats.org/officeDocument/2006/relationships/table" Target="/xl/tables/table5.xml" Id="R008d0df2a8774606" /></Relationships>
</file>

<file path=xl/worksheets/_rels/sheet7.xml.rels>&#65279;<?xml version="1.0" encoding="utf-8"?><Relationships xmlns="http://schemas.openxmlformats.org/package/2006/relationships"><Relationship Type="http://schemas.openxmlformats.org/officeDocument/2006/relationships/drawing" Target="/xl/drawings/drawing2.xml" Id="R41d3f81a3cf94e86" /><Relationship Type="http://schemas.openxmlformats.org/officeDocument/2006/relationships/table" Target="/xl/tables/table6.xml" Id="R8a7100a46a2445fc" /></Relationships>
</file>

<file path=xl/worksheets/sheet1.xml><?xml version="1.0" encoding="utf-8"?>
<x:worksheet xmlns:x="http://schemas.openxmlformats.org/spreadsheetml/2006/main">
  <x:sheetFormatPr defaultRowHeight="15"/>
  <x:cols>
    <x:col min="1" max="1" width="20" hidden="0" customWidth="1"/>
    <x:col min="2" max="2" width="80" hidden="0" customWidth="1"/>
  </x:cols>
  <x:sheetData>
    <x:row r="1">
      <x:c r="A1" s="44" t="str">
        <x:v>NIST CSF 2.0 GRC Gap Assessment Portfolio Workbook</x:v>
      </x:c>
      <x:c r="B1" s="45"/>
      <x:c r="C1" s="45"/>
      <x:c r="D1" s="45"/>
      <x:c r="E1" s="45"/>
      <x:c r="F1" s="45"/>
      <x:c r="G1" s="45"/>
      <x:c r="H1" s="45"/>
      <x:c r="I1" s="45"/>
      <x:c r="J1" s="45"/>
      <x:c r="K1" s="45"/>
      <x:c r="L1" s="45"/>
      <x:c r="M1" s="45"/>
      <x:c r="N1" s="45"/>
      <x:c r="O1" s="45"/>
      <x:c r="P1" s="45"/>
      <x:c r="Q1" s="45"/>
      <x:c r="R1" s="45"/>
      <x:c r="S1" s="45"/>
      <x:c r="T1" s="45"/>
      <x:c r="U1" s="45"/>
      <x:c r="V1" s="45"/>
      <x:c r="W1" s="45"/>
      <x:c r="X1" s="45"/>
      <x:c r="Y1" s="45"/>
      <x:c r="Z1" s="45"/>
    </x:row>
    <x:row r="3">
      <x:c r="A3" s="14" t="str">
        <x:v>Project</x:v>
      </x:c>
      <x:c r="B3" s="20" t="str">
        <x:v>NIST CSF 2.0 GRC Gap Assessment and Remediation Roadmap</x:v>
      </x:c>
    </x:row>
    <x:row r="4">
      <x:c r="A4" s="14" t="str">
        <x:v>Scenario</x:v>
      </x:c>
      <x:c r="B4" s="20" t="str">
        <x:v>Mock assessment of a mid-sized financial services / SaaS organization with cloud, identity, endpoint, SIEM, and vendor dependencies.</x:v>
      </x:c>
    </x:row>
    <x:row r="5">
      <x:c r="A5" s="14" t="str">
        <x:v>Purpose</x:v>
      </x:c>
      <x:c r="B5" s="20" t="str">
        <x:v>Demonstrates GRC analyst skills: framework mapping, control assessment, evidence review, risk scoring, ownership, remediation planning, and executive reporting.</x:v>
      </x:c>
    </x:row>
    <x:row r="6">
      <x:c r="A6" s="14" t="str">
        <x:v>Framework</x:v>
      </x:c>
      <x:c r="B6" s="20" t="str">
        <x:v>NIST Cybersecurity Framework 2.0</x:v>
      </x:c>
    </x:row>
    <x:row r="7">
      <x:c r="A7" s="14" t="str">
        <x:v>Source</x:v>
      </x:c>
      <x:c r="B7" s="20" t="str">
        <x:v>https://www.nist.gov/cyberframework</x:v>
      </x:c>
    </x:row>
    <x:row r="8">
      <x:c r="A8" s="14" t="str">
        <x:v>Assessment date</x:v>
      </x:c>
      <x:c r="B8" s="20" t="n">
        <x:v>46192</x:v>
      </x:c>
    </x:row>
    <x:row r="9">
      <x:c r="A9" s="14" t="str">
        <x:v>Prepared by</x:v>
      </x:c>
      <x:c r="B9" s="20" t="str">
        <x:v>Dustin Luedke - GRC Analyst Portfolio Project</x:v>
      </x:c>
    </x:row>
    <x:row r="10">
      <x:c r="A10" s="14" t="str">
        <x:v>Maturity scale</x:v>
      </x:c>
      <x:c r="B10" s="20" t="str">
        <x:v>1 = Initial, 2 = Developing, 3 = Defined, 4 = Managed, 5 = Optimized</x:v>
      </x:c>
    </x:row>
    <x:row r="11">
      <x:c r="A11" s="14" t="str">
        <x:v>Risk formula</x:v>
      </x:c>
      <x:c r="B11" s="20" t="str">
        <x:v>Risk Score = Impact x Likelihood; Priority = Critical &gt;= 20, High &gt;= 12, Medium &gt;= 6, Low &lt; 6</x:v>
      </x:c>
    </x:row>
    <x:row r="12">
      <x:c r="A12" s="14" t="str">
        <x:v>Portfolio note</x:v>
      </x:c>
      <x:c r="B12" s="20" t="str">
        <x:v>Fictional data created for resume/portfolio demonstration; no confidential company data included.</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3" hidden="0" customWidth="1"/>
    <x:col min="3" max="3" width="18" hidden="0" customWidth="1"/>
    <x:col min="4" max="4" width="48" hidden="0" customWidth="1"/>
    <x:col min="5" max="5" width="48" hidden="0" customWidth="1"/>
    <x:col min="6" max="6" width="12" hidden="0" customWidth="1"/>
    <x:col min="7" max="7" width="12" hidden="0" customWidth="1"/>
    <x:col min="8" max="8" width="8" hidden="0" customWidth="1"/>
    <x:col min="9" max="9" width="8" hidden="0" customWidth="1"/>
    <x:col min="10" max="10" width="10" hidden="0" customWidth="1"/>
    <x:col min="11" max="11" width="10" hidden="0" customWidth="1"/>
    <x:col min="12" max="12" width="12" hidden="0" customWidth="1"/>
    <x:col min="13" max="13" width="30" hidden="0" customWidth="1"/>
    <x:col min="14" max="14" width="55" hidden="0" customWidth="1"/>
    <x:col min="15" max="15" width="22" hidden="0" customWidth="1"/>
    <x:col min="16" max="16" width="13" hidden="0" customWidth="1"/>
    <x:col min="17" max="17" width="14" hidden="0" customWidth="1"/>
    <x:col min="18" max="18" width="24" hidden="0" customWidth="1"/>
  </x:cols>
  <x:sheetData>
    <x:row r="1">
      <x:c r="A1" s="48" t="str">
        <x:v>ID</x:v>
      </x:c>
      <x:c r="B1" s="48" t="str">
        <x:v>CSF Function</x:v>
      </x:c>
      <x:c r="C1" s="48" t="str">
        <x:v>Category</x:v>
      </x:c>
      <x:c r="D1" s="48" t="str">
        <x:v>Subcategory / Outcome</x:v>
      </x:c>
      <x:c r="E1" s="48" t="str">
        <x:v>Current State</x:v>
      </x:c>
      <x:c r="F1" s="48" t="str">
        <x:v>Current Maturity</x:v>
      </x:c>
      <x:c r="G1" s="48" t="str">
        <x:v>Target Maturity</x:v>
      </x:c>
      <x:c r="H1" s="48" t="str">
        <x:v>Gap</x:v>
      </x:c>
      <x:c r="I1" s="48" t="str">
        <x:v>Impact</x:v>
      </x:c>
      <x:c r="J1" s="48" t="str">
        <x:v>Likelihood</x:v>
      </x:c>
      <x:c r="K1" s="48" t="str">
        <x:v>Risk Score</x:v>
      </x:c>
      <x:c r="L1" s="48" t="str">
        <x:v>Priority</x:v>
      </x:c>
      <x:c r="M1" s="48" t="str">
        <x:v>Evidence Reviewed</x:v>
      </x:c>
      <x:c r="N1" s="48" t="str">
        <x:v>Recommended Remediation</x:v>
      </x:c>
      <x:c r="O1" s="48" t="str">
        <x:v>Control Owner</x:v>
      </x:c>
      <x:c r="P1" s="48" t="str">
        <x:v>Due Date</x:v>
      </x:c>
      <x:c r="Q1" s="48" t="str">
        <x:v>Status</x:v>
      </x:c>
      <x:c r="R1" s="48" t="str">
        <x:v>Notes</x:v>
      </x:c>
      <x:c r="S1" s="45"/>
      <x:c r="T1" s="45"/>
      <x:c r="U1" s="45"/>
      <x:c r="V1" s="45"/>
      <x:c r="W1" s="45"/>
      <x:c r="X1" s="45"/>
      <x:c r="Y1" s="45"/>
      <x:c r="Z1" s="45"/>
    </x:row>
    <x:row r="2">
      <x:c r="A2" s="20" t="str">
        <x:v>GV-OC-01</x:v>
      </x:c>
      <x:c r="B2" s="20" t="str">
        <x:v>Govern</x:v>
      </x:c>
      <x:c r="C2" s="20" t="str">
        <x:v>Organizational Context</x:v>
      </x:c>
      <x:c r="D2" s="20" t="str">
        <x:v>Cybersecurity risk management objectives are understood and aligned to business goals.</x:v>
      </x:c>
      <x:c r="E2" s="20" t="str">
        <x:v>Security objectives exist informally but are not fully mapped to enterprise risk goals.</x:v>
      </x:c>
      <x:c r="F2" s="20" t="n">
        <x:v>2</x:v>
      </x:c>
      <x:c r="G2" s="20" t="n">
        <x:v>4</x:v>
      </x:c>
      <x:c r="H2" s="20" t="n">
        <x:f>G2-F2</x:f>
        <x:v>2</x:v>
      </x:c>
      <x:c r="I2" s="20" t="n">
        <x:v>4</x:v>
      </x:c>
      <x:c r="J2" s="20" t="n">
        <x:v>3</x:v>
      </x:c>
      <x:c r="K2" s="20" t="n">
        <x:f>I2*J2</x:f>
        <x:v>12</x:v>
      </x:c>
      <x:c r="L2" s="20" t="str">
        <x:f>IF(K2&gt;=20,"Critical",IF(K2&gt;=12,"High",IF(K2&gt;=6,"Medium","Low")))</x:f>
        <x:v>High</x:v>
      </x:c>
      <x:c r="M2" s="20" t="str">
        <x:v>Strategic plan, security charter</x:v>
      </x:c>
      <x:c r="N2" s="20" t="str">
        <x:v>Document risk appetite and map cybersecurity objectives to business goals.</x:v>
      </x:c>
      <x:c r="O2" s="20" t="str">
        <x:v>CISO</x:v>
      </x:c>
      <x:c r="P2" s="30" t="n">
        <x:v>46234</x:v>
      </x:c>
      <x:c r="Q2" s="20" t="str">
        <x:v>In Progress</x:v>
      </x:c>
      <x:c r="R2" s="20" t="str">
        <x:v>Use executive sign-off.</x:v>
      </x:c>
    </x:row>
    <x:row r="3">
      <x:c r="A3" s="20" t="str">
        <x:v>GV-RM-01</x:v>
      </x:c>
      <x:c r="B3" s="20" t="str">
        <x:v>Govern</x:v>
      </x:c>
      <x:c r="C3" s="20" t="str">
        <x:v>Risk Management Strategy</x:v>
      </x:c>
      <x:c r="D3" s="20" t="str">
        <x:v>Risk management strategy is established, communicated, and monitored.</x:v>
      </x:c>
      <x:c r="E3" s="20" t="str">
        <x:v>Risk scoring exists in spreadsheets but lacks formal review cadence.</x:v>
      </x:c>
      <x:c r="F3" s="20" t="n">
        <x:v>2</x:v>
      </x:c>
      <x:c r="G3" s="20" t="n">
        <x:v>4</x:v>
      </x:c>
      <x:c r="H3" s="20" t="n">
        <x:f>G3-F3</x:f>
        <x:v>2</x:v>
      </x:c>
      <x:c r="I3" s="20" t="n">
        <x:v>5</x:v>
      </x:c>
      <x:c r="J3" s="20" t="n">
        <x:v>4</x:v>
      </x:c>
      <x:c r="K3" s="20" t="n">
        <x:f>I3*J3</x:f>
        <x:v>20</x:v>
      </x:c>
      <x:c r="L3" s="20" t="str">
        <x:f>IF(K3&gt;=20,"Critical",IF(K3&gt;=12,"High",IF(K3&gt;=6,"Medium","Low")))</x:f>
        <x:v>Critical</x:v>
      </x:c>
      <x:c r="M3" s="20" t="str">
        <x:v>Risk register, meeting notes</x:v>
      </x:c>
      <x:c r="N3" s="20" t="str">
        <x:v>Approve standardized risk methodology and quarterly risk review process.</x:v>
      </x:c>
      <x:c r="O3" s="20" t="str">
        <x:v>GRC Manager</x:v>
      </x:c>
      <x:c r="P3" s="30" t="n">
        <x:v>46234</x:v>
      </x:c>
      <x:c r="Q3" s="20" t="str">
        <x:v>Not Started</x:v>
      </x:c>
      <x:c r="R3" s="20" t="str">
        <x:v>High-value resume example.</x:v>
      </x:c>
    </x:row>
    <x:row r="4">
      <x:c r="A4" s="20" t="str">
        <x:v>GV-RR-02</x:v>
      </x:c>
      <x:c r="B4" s="20" t="str">
        <x:v>Govern</x:v>
      </x:c>
      <x:c r="C4" s="20" t="str">
        <x:v>Roles and Responsibilities</x:v>
      </x:c>
      <x:c r="D4" s="20" t="str">
        <x:v>Cybersecurity roles, responsibilities, and authorities are documented.</x:v>
      </x:c>
      <x:c r="E4" s="20" t="str">
        <x:v>RACI is incomplete for incident response, vendor risk, and backup testing.</x:v>
      </x:c>
      <x:c r="F4" s="20" t="n">
        <x:v>2</x:v>
      </x:c>
      <x:c r="G4" s="20" t="n">
        <x:v>4</x:v>
      </x:c>
      <x:c r="H4" s="20" t="n">
        <x:f>G4-F4</x:f>
        <x:v>2</x:v>
      </x:c>
      <x:c r="I4" s="20" t="n">
        <x:v>4</x:v>
      </x:c>
      <x:c r="J4" s="20" t="n">
        <x:v>3</x:v>
      </x:c>
      <x:c r="K4" s="20" t="n">
        <x:f>I4*J4</x:f>
        <x:v>12</x:v>
      </x:c>
      <x:c r="L4" s="20" t="str">
        <x:f>IF(K4&gt;=20,"Critical",IF(K4&gt;=12,"High",IF(K4&gt;=6,"Medium","Low")))</x:f>
        <x:v>High</x:v>
      </x:c>
      <x:c r="M4" s="20" t="str">
        <x:v>Org chart, policy drafts</x:v>
      </x:c>
      <x:c r="N4" s="20" t="str">
        <x:v>Publish RACI covering security, IT, legal, HR, and business owners.</x:v>
      </x:c>
      <x:c r="O4" s="20" t="str">
        <x:v>CISO</x:v>
      </x:c>
      <x:c r="P4" s="30" t="n">
        <x:v>46249</x:v>
      </x:c>
      <x:c r="Q4" s="20" t="str">
        <x:v>Not Started</x:v>
      </x:c>
      <x:c r="R4" s="20" t="str"/>
    </x:row>
    <x:row r="5">
      <x:c r="A5" s="20" t="str">
        <x:v>GV-PO-01</x:v>
      </x:c>
      <x:c r="B5" s="20" t="str">
        <x:v>Govern</x:v>
      </x:c>
      <x:c r="C5" s="20" t="str">
        <x:v>Policy</x:v>
      </x:c>
      <x:c r="D5" s="20" t="str">
        <x:v>Cybersecurity policies are established and periodically reviewed.</x:v>
      </x:c>
      <x:c r="E5" s="20" t="str">
        <x:v>Core policies exist but several have not been reviewed in 18 months.</x:v>
      </x:c>
      <x:c r="F5" s="20" t="n">
        <x:v>2</x:v>
      </x:c>
      <x:c r="G5" s="20" t="n">
        <x:v>4</x:v>
      </x:c>
      <x:c r="H5" s="20" t="n">
        <x:f>G5-F5</x:f>
        <x:v>2</x:v>
      </x:c>
      <x:c r="I5" s="20" t="n">
        <x:v>4</x:v>
      </x:c>
      <x:c r="J5" s="20" t="n">
        <x:v>3</x:v>
      </x:c>
      <x:c r="K5" s="20" t="n">
        <x:f>I5*J5</x:f>
        <x:v>12</x:v>
      </x:c>
      <x:c r="L5" s="20" t="str">
        <x:f>IF(K5&gt;=20,"Critical",IF(K5&gt;=12,"High",IF(K5&gt;=6,"Medium","Low")))</x:f>
        <x:v>High</x:v>
      </x:c>
      <x:c r="M5" s="20" t="str">
        <x:v>Policy repository</x:v>
      </x:c>
      <x:c r="N5" s="20" t="str">
        <x:v>Create annual policy review calendar and approval workflow.</x:v>
      </x:c>
      <x:c r="O5" s="20" t="str">
        <x:v>GRC Manager</x:v>
      </x:c>
      <x:c r="P5" s="30" t="n">
        <x:v>46264</x:v>
      </x:c>
      <x:c r="Q5" s="20" t="str">
        <x:v>In Progress</x:v>
      </x:c>
      <x:c r="R5" s="20" t="str"/>
    </x:row>
    <x:row r="6">
      <x:c r="A6" s="20" t="str">
        <x:v>GV-SC-03</x:v>
      </x:c>
      <x:c r="B6" s="20" t="str">
        <x:v>Govern</x:v>
      </x:c>
      <x:c r="C6" s="20" t="str">
        <x:v>Supply Chain Risk</x:v>
      </x:c>
      <x:c r="D6" s="20" t="str">
        <x:v>Third-party cybersecurity risks are identified and managed.</x:v>
      </x:c>
      <x:c r="E6" s="20" t="str">
        <x:v>Critical vendors are tracked but security reviews are not consistently evidenced.</x:v>
      </x:c>
      <x:c r="F6" s="20" t="n">
        <x:v>2</x:v>
      </x:c>
      <x:c r="G6" s="20" t="n">
        <x:v>4</x:v>
      </x:c>
      <x:c r="H6" s="20" t="n">
        <x:f>G6-F6</x:f>
        <x:v>2</x:v>
      </x:c>
      <x:c r="I6" s="20" t="n">
        <x:v>5</x:v>
      </x:c>
      <x:c r="J6" s="20" t="n">
        <x:v>4</x:v>
      </x:c>
      <x:c r="K6" s="20" t="n">
        <x:f>I6*J6</x:f>
        <x:v>20</x:v>
      </x:c>
      <x:c r="L6" s="20" t="str">
        <x:f>IF(K6&gt;=20,"Critical",IF(K6&gt;=12,"High",IF(K6&gt;=6,"Medium","Low")))</x:f>
        <x:v>Critical</x:v>
      </x:c>
      <x:c r="M6" s="20" t="str">
        <x:v>Vendor list, questionnaires</x:v>
      </x:c>
      <x:c r="N6" s="20" t="str">
        <x:v>Implement vendor risk tiering, security reviews, and annual reassessments.</x:v>
      </x:c>
      <x:c r="O6" s="20" t="str">
        <x:v>Vendor Manager</x:v>
      </x:c>
      <x:c r="P6" s="30" t="n">
        <x:v>46249</x:v>
      </x:c>
      <x:c r="Q6" s="20" t="str">
        <x:v>Not Started</x:v>
      </x:c>
      <x:c r="R6" s="20" t="str"/>
    </x:row>
    <x:row r="7">
      <x:c r="A7" s="20" t="str">
        <x:v>ID.AM-01</x:v>
      </x:c>
      <x:c r="B7" s="20" t="str">
        <x:v>Identify</x:v>
      </x:c>
      <x:c r="C7" s="20" t="str">
        <x:v>Asset Management</x:v>
      </x:c>
      <x:c r="D7" s="20" t="str">
        <x:v>Physical and virtual assets are inventoried and owned.</x:v>
      </x:c>
      <x:c r="E7" s="20" t="str">
        <x:v>Endpoint inventory exists; cloud asset ownership and tagging are inconsistent.</x:v>
      </x:c>
      <x:c r="F7" s="20" t="n">
        <x:v>2</x:v>
      </x:c>
      <x:c r="G7" s="20" t="n">
        <x:v>4</x:v>
      </x:c>
      <x:c r="H7" s="20" t="n">
        <x:f>G7-F7</x:f>
        <x:v>2</x:v>
      </x:c>
      <x:c r="I7" s="20" t="n">
        <x:v>5</x:v>
      </x:c>
      <x:c r="J7" s="20" t="n">
        <x:v>4</x:v>
      </x:c>
      <x:c r="K7" s="20" t="n">
        <x:f>I7*J7</x:f>
        <x:v>20</x:v>
      </x:c>
      <x:c r="L7" s="20" t="str">
        <x:f>IF(K7&gt;=20,"Critical",IF(K7&gt;=12,"High",IF(K7&gt;=6,"Medium","Low")))</x:f>
        <x:v>Critical</x:v>
      </x:c>
      <x:c r="M7" s="20" t="str">
        <x:v>CMDB export, AWS tags</x:v>
      </x:c>
      <x:c r="N7" s="20" t="str">
        <x:v>Implement authoritative asset inventory with owner, system criticality, and data classification.</x:v>
      </x:c>
      <x:c r="O7" s="20" t="str">
        <x:v>IT Operations</x:v>
      </x:c>
      <x:c r="P7" s="30" t="n">
        <x:v>46264</x:v>
      </x:c>
      <x:c r="Q7" s="20" t="str">
        <x:v>In Progress</x:v>
      </x:c>
      <x:c r="R7" s="20" t="str"/>
    </x:row>
    <x:row r="8">
      <x:c r="A8" s="20" t="str">
        <x:v>ID.AM-04</x:v>
      </x:c>
      <x:c r="B8" s="20" t="str">
        <x:v>Identify</x:v>
      </x:c>
      <x:c r="C8" s="20" t="str">
        <x:v>Asset Management</x:v>
      </x:c>
      <x:c r="D8" s="20" t="str">
        <x:v>External information systems and dependencies are cataloged.</x:v>
      </x:c>
      <x:c r="E8" s="20" t="str">
        <x:v>SaaS application inventory is incomplete and not reconciled with finance data.</x:v>
      </x:c>
      <x:c r="F8" s="20" t="n">
        <x:v>2</x:v>
      </x:c>
      <x:c r="G8" s="20" t="n">
        <x:v>4</x:v>
      </x:c>
      <x:c r="H8" s="20" t="n">
        <x:f>G8-F8</x:f>
        <x:v>2</x:v>
      </x:c>
      <x:c r="I8" s="20" t="n">
        <x:v>4</x:v>
      </x:c>
      <x:c r="J8" s="20" t="n">
        <x:v>4</x:v>
      </x:c>
      <x:c r="K8" s="20" t="n">
        <x:f>I8*J8</x:f>
        <x:v>16</x:v>
      </x:c>
      <x:c r="L8" s="20" t="str">
        <x:f>IF(K8&gt;=20,"Critical",IF(K8&gt;=12,"High",IF(K8&gt;=6,"Medium","Low")))</x:f>
        <x:v>High</x:v>
      </x:c>
      <x:c r="M8" s="20" t="str">
        <x:v>SaaS inventory, finance export</x:v>
      </x:c>
      <x:c r="N8" s="20" t="str">
        <x:v>Reconcile SaaS apps quarterly and assign business owners.</x:v>
      </x:c>
      <x:c r="O8" s="20" t="str">
        <x:v>IT Operations</x:v>
      </x:c>
      <x:c r="P8" s="30" t="n">
        <x:v>46279</x:v>
      </x:c>
      <x:c r="Q8" s="20" t="str">
        <x:v>Not Started</x:v>
      </x:c>
      <x:c r="R8" s="20" t="str"/>
    </x:row>
    <x:row r="9">
      <x:c r="A9" s="20" t="str">
        <x:v>ID.RA-01</x:v>
      </x:c>
      <x:c r="B9" s="20" t="str">
        <x:v>Identify</x:v>
      </x:c>
      <x:c r="C9" s="20" t="str">
        <x:v>Risk Assessment</x:v>
      </x:c>
      <x:c r="D9" s="20" t="str">
        <x:v>Vulnerabilities are identified and documented.</x:v>
      </x:c>
      <x:c r="E9" s="20" t="str">
        <x:v>Scanning is performed, but exception tracking and remediation SLAs are inconsistent.</x:v>
      </x:c>
      <x:c r="F9" s="20" t="n">
        <x:v>3</x:v>
      </x:c>
      <x:c r="G9" s="20" t="n">
        <x:v>4</x:v>
      </x:c>
      <x:c r="H9" s="20" t="n">
        <x:f>G9-F9</x:f>
        <x:v>1</x:v>
      </x:c>
      <x:c r="I9" s="20" t="n">
        <x:v>4</x:v>
      </x:c>
      <x:c r="J9" s="20" t="n">
        <x:v>3</x:v>
      </x:c>
      <x:c r="K9" s="20" t="n">
        <x:f>I9*J9</x:f>
        <x:v>12</x:v>
      </x:c>
      <x:c r="L9" s="20" t="str">
        <x:f>IF(K9&gt;=20,"Critical",IF(K9&gt;=12,"High",IF(K9&gt;=6,"Medium","Low")))</x:f>
        <x:v>High</x:v>
      </x:c>
      <x:c r="M9" s="20" t="str">
        <x:v>Vulnerability scan reports</x:v>
      </x:c>
      <x:c r="N9" s="20" t="str">
        <x:v>Define severity-based remediation SLAs and exception approval process.</x:v>
      </x:c>
      <x:c r="O9" s="20" t="str">
        <x:v>Security Engineering</x:v>
      </x:c>
      <x:c r="P9" s="30" t="n">
        <x:v>46249</x:v>
      </x:c>
      <x:c r="Q9" s="20" t="str">
        <x:v>In Progress</x:v>
      </x:c>
      <x:c r="R9" s="20" t="str"/>
    </x:row>
    <x:row r="10">
      <x:c r="A10" s="20" t="str">
        <x:v>ID.RA-05</x:v>
      </x:c>
      <x:c r="B10" s="20" t="str">
        <x:v>Identify</x:v>
      </x:c>
      <x:c r="C10" s="20" t="str">
        <x:v>Risk Assessment</x:v>
      </x:c>
      <x:c r="D10" s="20" t="str">
        <x:v>Threats, vulnerabilities, likelihood, and impact inform risk decisions.</x:v>
      </x:c>
      <x:c r="E10" s="20" t="str">
        <x:v>Risk decisions are not consistently tied to documented threat scenarios.</x:v>
      </x:c>
      <x:c r="F10" s="20" t="n">
        <x:v>2</x:v>
      </x:c>
      <x:c r="G10" s="20" t="n">
        <x:v>4</x:v>
      </x:c>
      <x:c r="H10" s="20" t="n">
        <x:f>G10-F10</x:f>
        <x:v>2</x:v>
      </x:c>
      <x:c r="I10" s="20" t="n">
        <x:v>4</x:v>
      </x:c>
      <x:c r="J10" s="20" t="n">
        <x:v>3</x:v>
      </x:c>
      <x:c r="K10" s="20" t="n">
        <x:f>I10*J10</x:f>
        <x:v>12</x:v>
      </x:c>
      <x:c r="L10" s="20" t="str">
        <x:f>IF(K10&gt;=20,"Critical",IF(K10&gt;=12,"High",IF(K10&gt;=6,"Medium","Low")))</x:f>
        <x:v>High</x:v>
      </x:c>
      <x:c r="M10" s="20" t="str">
        <x:v>Risk register, threat briefings</x:v>
      </x:c>
      <x:c r="N10" s="20" t="str">
        <x:v>Add threat scenario fields to risk register and management reviews.</x:v>
      </x:c>
      <x:c r="O10" s="20" t="str">
        <x:v>GRC Manager</x:v>
      </x:c>
      <x:c r="P10" s="30" t="n">
        <x:v>46294</x:v>
      </x:c>
      <x:c r="Q10" s="20" t="str">
        <x:v>Not Started</x:v>
      </x:c>
      <x:c r="R10" s="20" t="str"/>
    </x:row>
    <x:row r="11">
      <x:c r="A11" s="20" t="str">
        <x:v>ID.IM-01</x:v>
      </x:c>
      <x:c r="B11" s="20" t="str">
        <x:v>Identify</x:v>
      </x:c>
      <x:c r="C11" s="20" t="str">
        <x:v>Improvement</x:v>
      </x:c>
      <x:c r="D11" s="20" t="str">
        <x:v>Improvements are identified from assessments, tests, and incidents.</x:v>
      </x:c>
      <x:c r="E11" s="20" t="str">
        <x:v>Findings are tracked in Jira but not consolidated into a GRC remediation dashboard.</x:v>
      </x:c>
      <x:c r="F11" s="20" t="n">
        <x:v>2</x:v>
      </x:c>
      <x:c r="G11" s="20" t="n">
        <x:v>4</x:v>
      </x:c>
      <x:c r="H11" s="20" t="n">
        <x:f>G11-F11</x:f>
        <x:v>2</x:v>
      </x:c>
      <x:c r="I11" s="20" t="n">
        <x:v>3</x:v>
      </x:c>
      <x:c r="J11" s="20" t="n">
        <x:v>4</x:v>
      </x:c>
      <x:c r="K11" s="20" t="n">
        <x:f>I11*J11</x:f>
        <x:v>12</x:v>
      </x:c>
      <x:c r="L11" s="20" t="str">
        <x:f>IF(K11&gt;=20,"Critical",IF(K11&gt;=12,"High",IF(K11&gt;=6,"Medium","Low")))</x:f>
        <x:v>High</x:v>
      </x:c>
      <x:c r="M11" s="20" t="str">
        <x:v>Jira tickets, audit findings</x:v>
      </x:c>
      <x:c r="N11" s="20" t="str">
        <x:v>Create centralized remediation tracker with owners, due dates, and risk impact.</x:v>
      </x:c>
      <x:c r="O11" s="20" t="str">
        <x:v>GRC Manager</x:v>
      </x:c>
      <x:c r="P11" s="30" t="n">
        <x:v>46249</x:v>
      </x:c>
      <x:c r="Q11" s="20" t="str">
        <x:v>In Progress</x:v>
      </x:c>
      <x:c r="R11" s="20" t="str"/>
    </x:row>
    <x:row r="12">
      <x:c r="A12" s="20" t="str">
        <x:v>PR.AA-01</x:v>
      </x:c>
      <x:c r="B12" s="20" t="str">
        <x:v>Protect</x:v>
      </x:c>
      <x:c r="C12" s="20" t="str">
        <x:v>Identity and Access Management</x:v>
      </x:c>
      <x:c r="D12" s="20" t="str">
        <x:v>Identities and credentials are managed for authorized users and services.</x:v>
      </x:c>
      <x:c r="E12" s="20" t="str">
        <x:v>MFA is enabled; service account ownership and review process are incomplete.</x:v>
      </x:c>
      <x:c r="F12" s="20" t="n">
        <x:v>3</x:v>
      </x:c>
      <x:c r="G12" s="20" t="n">
        <x:v>4</x:v>
      </x:c>
      <x:c r="H12" s="20" t="n">
        <x:f>G12-F12</x:f>
        <x:v>1</x:v>
      </x:c>
      <x:c r="I12" s="20" t="n">
        <x:v>4</x:v>
      </x:c>
      <x:c r="J12" s="20" t="n">
        <x:v>4</x:v>
      </x:c>
      <x:c r="K12" s="20" t="n">
        <x:f>I12*J12</x:f>
        <x:v>16</x:v>
      </x:c>
      <x:c r="L12" s="20" t="str">
        <x:f>IF(K12&gt;=20,"Critical",IF(K12&gt;=12,"High",IF(K12&gt;=6,"Medium","Low")))</x:f>
        <x:v>High</x:v>
      </x:c>
      <x:c r="M12" s="20" t="str">
        <x:v>Okta export, service account list</x:v>
      </x:c>
      <x:c r="N12" s="20" t="str">
        <x:v>Formalize service account ownership, rotation, and quarterly review.</x:v>
      </x:c>
      <x:c r="O12" s="20" t="str">
        <x:v>Security Engineering</x:v>
      </x:c>
      <x:c r="P12" s="30" t="n">
        <x:v>46264</x:v>
      </x:c>
      <x:c r="Q12" s="20" t="str">
        <x:v>Not Started</x:v>
      </x:c>
      <x:c r="R12" s="20" t="str"/>
    </x:row>
    <x:row r="13">
      <x:c r="A13" s="20" t="str">
        <x:v>PR.AA-05</x:v>
      </x:c>
      <x:c r="B13" s="20" t="str">
        <x:v>Protect</x:v>
      </x:c>
      <x:c r="C13" s="20" t="str">
        <x:v>Access Control</x:v>
      </x:c>
      <x:c r="D13" s="20" t="str">
        <x:v>Access permissions are reviewed and managed.</x:v>
      </x:c>
      <x:c r="E13" s="20" t="str">
        <x:v>Privileged access is reviewed ad hoc, not quarterly with retained evidence.</x:v>
      </x:c>
      <x:c r="F13" s="20" t="n">
        <x:v>2</x:v>
      </x:c>
      <x:c r="G13" s="20" t="n">
        <x:v>4</x:v>
      </x:c>
      <x:c r="H13" s="20" t="n">
        <x:f>G13-F13</x:f>
        <x:v>2</x:v>
      </x:c>
      <x:c r="I13" s="20" t="n">
        <x:v>5</x:v>
      </x:c>
      <x:c r="J13" s="20" t="n">
        <x:v>4</x:v>
      </x:c>
      <x:c r="K13" s="20" t="n">
        <x:f>I13*J13</x:f>
        <x:v>20</x:v>
      </x:c>
      <x:c r="L13" s="20" t="str">
        <x:f>IF(K13&gt;=20,"Critical",IF(K13&gt;=12,"High",IF(K13&gt;=6,"Medium","Low")))</x:f>
        <x:v>Critical</x:v>
      </x:c>
      <x:c r="M13" s="20" t="str">
        <x:v>IAM exports, access review samples</x:v>
      </x:c>
      <x:c r="N13" s="20" t="str">
        <x:v>Create quarterly privileged access review workflow with evidence retention.</x:v>
      </x:c>
      <x:c r="O13" s="20" t="str">
        <x:v>IT Operations</x:v>
      </x:c>
      <x:c r="P13" s="30" t="n">
        <x:v>46234</x:v>
      </x:c>
      <x:c r="Q13" s="20" t="str">
        <x:v>Not Started</x:v>
      </x:c>
      <x:c r="R13" s="20" t="str">
        <x:v>Critical gap.</x:v>
      </x:c>
    </x:row>
    <x:row r="14">
      <x:c r="A14" s="20" t="str">
        <x:v>PR.AT-01</x:v>
      </x:c>
      <x:c r="B14" s="20" t="str">
        <x:v>Protect</x:v>
      </x:c>
      <x:c r="C14" s="20" t="str">
        <x:v>Awareness and Training</x:v>
      </x:c>
      <x:c r="D14" s="20" t="str">
        <x:v>Personnel receive cybersecurity awareness education.</x:v>
      </x:c>
      <x:c r="E14" s="20" t="str">
        <x:v>Annual training is delivered but completion exceptions are not escalated timely.</x:v>
      </x:c>
      <x:c r="F14" s="20" t="n">
        <x:v>3</x:v>
      </x:c>
      <x:c r="G14" s="20" t="n">
        <x:v>4</x:v>
      </x:c>
      <x:c r="H14" s="20" t="n">
        <x:f>G14-F14</x:f>
        <x:v>1</x:v>
      </x:c>
      <x:c r="I14" s="20" t="n">
        <x:v>3</x:v>
      </x:c>
      <x:c r="J14" s="20" t="n">
        <x:v>3</x:v>
      </x:c>
      <x:c r="K14" s="20" t="n">
        <x:f>I14*J14</x:f>
        <x:v>9</x:v>
      </x:c>
      <x:c r="L14" s="20" t="str">
        <x:f>IF(K14&gt;=20,"Critical",IF(K14&gt;=12,"High",IF(K14&gt;=6,"Medium","Low")))</x:f>
        <x:v>Medium</x:v>
      </x:c>
      <x:c r="M14" s="20" t="str">
        <x:v>Training reports</x:v>
      </x:c>
      <x:c r="N14" s="20" t="str">
        <x:v>Define escalation path for overdue training and role-based training requirements.</x:v>
      </x:c>
      <x:c r="O14" s="20" t="str">
        <x:v>HR / Training</x:v>
      </x:c>
      <x:c r="P14" s="30" t="n">
        <x:v>46264</x:v>
      </x:c>
      <x:c r="Q14" s="20" t="str">
        <x:v>In Progress</x:v>
      </x:c>
      <x:c r="R14" s="20" t="str"/>
    </x:row>
    <x:row r="15">
      <x:c r="A15" s="20" t="str">
        <x:v>PR.DS-01</x:v>
      </x:c>
      <x:c r="B15" s="20" t="str">
        <x:v>Protect</x:v>
      </x:c>
      <x:c r="C15" s="20" t="str">
        <x:v>Data Security</x:v>
      </x:c>
      <x:c r="D15" s="20" t="str">
        <x:v>Data-at-rest is protected.</x:v>
      </x:c>
      <x:c r="E15" s="20" t="str">
        <x:v>Encryption is standard for production but data classification coverage is incomplete.</x:v>
      </x:c>
      <x:c r="F15" s="20" t="n">
        <x:v>3</x:v>
      </x:c>
      <x:c r="G15" s="20" t="n">
        <x:v>4</x:v>
      </x:c>
      <x:c r="H15" s="20" t="n">
        <x:f>G15-F15</x:f>
        <x:v>1</x:v>
      </x:c>
      <x:c r="I15" s="20" t="n">
        <x:v>4</x:v>
      </x:c>
      <x:c r="J15" s="20" t="n">
        <x:v>3</x:v>
      </x:c>
      <x:c r="K15" s="20" t="n">
        <x:f>I15*J15</x:f>
        <x:v>12</x:v>
      </x:c>
      <x:c r="L15" s="20" t="str">
        <x:f>IF(K15&gt;=20,"Critical",IF(K15&gt;=12,"High",IF(K15&gt;=6,"Medium","Low")))</x:f>
        <x:v>High</x:v>
      </x:c>
      <x:c r="M15" s="20" t="str">
        <x:v>Cloud config, DLP policy</x:v>
      </x:c>
      <x:c r="N15" s="20" t="str">
        <x:v>Complete data classification and align encryption controls to data categories.</x:v>
      </x:c>
      <x:c r="O15" s="20" t="str">
        <x:v>Security Engineering</x:v>
      </x:c>
      <x:c r="P15" s="30" t="n">
        <x:v>46294</x:v>
      </x:c>
      <x:c r="Q15" s="20" t="str">
        <x:v>Not Started</x:v>
      </x:c>
      <x:c r="R15" s="20" t="str"/>
    </x:row>
    <x:row r="16">
      <x:c r="A16" s="20" t="str">
        <x:v>PR.PS-01</x:v>
      </x:c>
      <x:c r="B16" s="20" t="str">
        <x:v>Protect</x:v>
      </x:c>
      <x:c r="C16" s="20" t="str">
        <x:v>Platform Security</x:v>
      </x:c>
      <x:c r="D16" s="20" t="str">
        <x:v>Configurations are managed and hardened.</x:v>
      </x:c>
      <x:c r="E16" s="20" t="str">
        <x:v>Baseline hardening exists for endpoints; cloud benchmark evidence is inconsistent.</x:v>
      </x:c>
      <x:c r="F16" s="20" t="n">
        <x:v>3</x:v>
      </x:c>
      <x:c r="G16" s="20" t="n">
        <x:v>4</x:v>
      </x:c>
      <x:c r="H16" s="20" t="n">
        <x:f>G16-F16</x:f>
        <x:v>1</x:v>
      </x:c>
      <x:c r="I16" s="20" t="n">
        <x:v>4</x:v>
      </x:c>
      <x:c r="J16" s="20" t="n">
        <x:v>3</x:v>
      </x:c>
      <x:c r="K16" s="20" t="n">
        <x:f>I16*J16</x:f>
        <x:v>12</x:v>
      </x:c>
      <x:c r="L16" s="20" t="str">
        <x:f>IF(K16&gt;=20,"Critical",IF(K16&gt;=12,"High",IF(K16&gt;=6,"Medium","Low")))</x:f>
        <x:v>High</x:v>
      </x:c>
      <x:c r="M16" s="20" t="str">
        <x:v>CIS benchmark reports</x:v>
      </x:c>
      <x:c r="N16" s="20" t="str">
        <x:v>Implement cloud configuration monitoring and monthly evidence package.</x:v>
      </x:c>
      <x:c r="O16" s="20" t="str">
        <x:v>Security Engineering</x:v>
      </x:c>
      <x:c r="P16" s="30" t="n">
        <x:v>46279</x:v>
      </x:c>
      <x:c r="Q16" s="20" t="str">
        <x:v>In Progress</x:v>
      </x:c>
      <x:c r="R16" s="20" t="str"/>
    </x:row>
    <x:row r="17">
      <x:c r="A17" s="20" t="str">
        <x:v>PR.IR-01</x:v>
      </x:c>
      <x:c r="B17" s="20" t="str">
        <x:v>Protect</x:v>
      </x:c>
      <x:c r="C17" s="20" t="str">
        <x:v>Technology Infrastructure Resilience</x:v>
      </x:c>
      <x:c r="D17" s="20" t="str">
        <x:v>Backups are protected and recoverable.</x:v>
      </x:c>
      <x:c r="E17" s="20" t="str">
        <x:v>Backups are configured but restore tests are not consistently documented.</x:v>
      </x:c>
      <x:c r="F17" s="20" t="n">
        <x:v>2</x:v>
      </x:c>
      <x:c r="G17" s="20" t="n">
        <x:v>4</x:v>
      </x:c>
      <x:c r="H17" s="20" t="n">
        <x:f>G17-F17</x:f>
        <x:v>2</x:v>
      </x:c>
      <x:c r="I17" s="20" t="n">
        <x:v>5</x:v>
      </x:c>
      <x:c r="J17" s="20" t="n">
        <x:v>4</x:v>
      </x:c>
      <x:c r="K17" s="20" t="n">
        <x:f>I17*J17</x:f>
        <x:v>20</x:v>
      </x:c>
      <x:c r="L17" s="20" t="str">
        <x:f>IF(K17&gt;=20,"Critical",IF(K17&gt;=12,"High",IF(K17&gt;=6,"Medium","Low")))</x:f>
        <x:v>Critical</x:v>
      </x:c>
      <x:c r="M17" s="20" t="str">
        <x:v>Backup console, restore logs</x:v>
      </x:c>
      <x:c r="N17" s="20" t="str">
        <x:v>Perform and document quarterly backup restoration tests.</x:v>
      </x:c>
      <x:c r="O17" s="20" t="str">
        <x:v>Business Continuity Lead</x:v>
      </x:c>
      <x:c r="P17" s="30" t="n">
        <x:v>46249</x:v>
      </x:c>
      <x:c r="Q17" s="20" t="str">
        <x:v>Not Started</x:v>
      </x:c>
      <x:c r="R17" s="20" t="str"/>
    </x:row>
    <x:row r="18">
      <x:c r="A18" s="20" t="str">
        <x:v>DE.CM-01</x:v>
      </x:c>
      <x:c r="B18" s="20" t="str">
        <x:v>Detect</x:v>
      </x:c>
      <x:c r="C18" s="20" t="str">
        <x:v>Continuous Monitoring</x:v>
      </x:c>
      <x:c r="D18" s="20" t="str">
        <x:v>Networks and network services are monitored.</x:v>
      </x:c>
      <x:c r="E18" s="20" t="str">
        <x:v>SIEM receives logs but coverage map is incomplete for critical SaaS and cloud sources.</x:v>
      </x:c>
      <x:c r="F18" s="20" t="n">
        <x:v>3</x:v>
      </x:c>
      <x:c r="G18" s="20" t="n">
        <x:v>4</x:v>
      </x:c>
      <x:c r="H18" s="20" t="n">
        <x:f>G18-F18</x:f>
        <x:v>1</x:v>
      </x:c>
      <x:c r="I18" s="20" t="n">
        <x:v>4</x:v>
      </x:c>
      <x:c r="J18" s="20" t="n">
        <x:v>4</x:v>
      </x:c>
      <x:c r="K18" s="20" t="n">
        <x:f>I18*J18</x:f>
        <x:v>16</x:v>
      </x:c>
      <x:c r="L18" s="20" t="str">
        <x:f>IF(K18&gt;=20,"Critical",IF(K18&gt;=12,"High",IF(K18&gt;=6,"Medium","Low")))</x:f>
        <x:v>High</x:v>
      </x:c>
      <x:c r="M18" s="20" t="str">
        <x:v>SIEM sources, logging architecture</x:v>
      </x:c>
      <x:c r="N18" s="20" t="str">
        <x:v>Build log source coverage matrix and onboard missing critical sources.</x:v>
      </x:c>
      <x:c r="O18" s="20" t="str">
        <x:v>SOC Manager</x:v>
      </x:c>
      <x:c r="P18" s="30" t="n">
        <x:v>46264</x:v>
      </x:c>
      <x:c r="Q18" s="20" t="str">
        <x:v>In Progress</x:v>
      </x:c>
      <x:c r="R18" s="20" t="str"/>
    </x:row>
    <x:row r="19">
      <x:c r="A19" s="20" t="str">
        <x:v>DE.CM-03</x:v>
      </x:c>
      <x:c r="B19" s="20" t="str">
        <x:v>Detect</x:v>
      </x:c>
      <x:c r="C19" s="20" t="str">
        <x:v>Continuous Monitoring</x:v>
      </x:c>
      <x:c r="D19" s="20" t="str">
        <x:v>Personnel activity is monitored to detect anomalous events.</x:v>
      </x:c>
      <x:c r="E19" s="20" t="str">
        <x:v>Privileged admin activity is logged but detections are inconsistent.</x:v>
      </x:c>
      <x:c r="F19" s="20" t="n">
        <x:v>2</x:v>
      </x:c>
      <x:c r="G19" s="20" t="n">
        <x:v>4</x:v>
      </x:c>
      <x:c r="H19" s="20" t="n">
        <x:f>G19-F19</x:f>
        <x:v>2</x:v>
      </x:c>
      <x:c r="I19" s="20" t="n">
        <x:v>4</x:v>
      </x:c>
      <x:c r="J19" s="20" t="n">
        <x:v>4</x:v>
      </x:c>
      <x:c r="K19" s="20" t="n">
        <x:f>I19*J19</x:f>
        <x:v>16</x:v>
      </x:c>
      <x:c r="L19" s="20" t="str">
        <x:f>IF(K19&gt;=20,"Critical",IF(K19&gt;=12,"High",IF(K19&gt;=6,"Medium","Low")))</x:f>
        <x:v>High</x:v>
      </x:c>
      <x:c r="M19" s="20" t="str">
        <x:v>SIEM rules, IAM logs</x:v>
      </x:c>
      <x:c r="N19" s="20" t="str">
        <x:v>Create detections for privileged actions and risky admin behavior.</x:v>
      </x:c>
      <x:c r="O19" s="20" t="str">
        <x:v>SOC Manager</x:v>
      </x:c>
      <x:c r="P19" s="30" t="n">
        <x:v>46279</x:v>
      </x:c>
      <x:c r="Q19" s="20" t="str">
        <x:v>Not Started</x:v>
      </x:c>
      <x:c r="R19" s="20" t="str"/>
    </x:row>
    <x:row r="20">
      <x:c r="A20" s="20" t="str">
        <x:v>DE.AE-02</x:v>
      </x:c>
      <x:c r="B20" s="20" t="str">
        <x:v>Detect</x:v>
      </x:c>
      <x:c r="C20" s="20" t="str">
        <x:v>Adverse Event Analysis</x:v>
      </x:c>
      <x:c r="D20" s="20" t="str">
        <x:v>Potentially adverse events are analyzed to understand impact.</x:v>
      </x:c>
      <x:c r="E20" s="20" t="str">
        <x:v>Alert triage is performed, but severity criteria and evidence standards are inconsistent.</x:v>
      </x:c>
      <x:c r="F20" s="20" t="n">
        <x:v>3</x:v>
      </x:c>
      <x:c r="G20" s="20" t="n">
        <x:v>4</x:v>
      </x:c>
      <x:c r="H20" s="20" t="n">
        <x:f>G20-F20</x:f>
        <x:v>1</x:v>
      </x:c>
      <x:c r="I20" s="20" t="n">
        <x:v>4</x:v>
      </x:c>
      <x:c r="J20" s="20" t="n">
        <x:v>3</x:v>
      </x:c>
      <x:c r="K20" s="20" t="n">
        <x:f>I20*J20</x:f>
        <x:v>12</x:v>
      </x:c>
      <x:c r="L20" s="20" t="str">
        <x:f>IF(K20&gt;=20,"Critical",IF(K20&gt;=12,"High",IF(K20&gt;=6,"Medium","Low")))</x:f>
        <x:v>High</x:v>
      </x:c>
      <x:c r="M20" s="20" t="str">
        <x:v>SIEM alerts, SOC runbooks</x:v>
      </x:c>
      <x:c r="N20" s="20" t="str">
        <x:v>Document triage standards, severity criteria, and evidence capture requirements.</x:v>
      </x:c>
      <x:c r="O20" s="20" t="str">
        <x:v>SOC Manager</x:v>
      </x:c>
      <x:c r="P20" s="30" t="n">
        <x:v>46249</x:v>
      </x:c>
      <x:c r="Q20" s="20" t="str">
        <x:v>In Progress</x:v>
      </x:c>
      <x:c r="R20" s="20" t="str"/>
    </x:row>
    <x:row r="21">
      <x:c r="A21" s="20" t="str">
        <x:v>DE.AE-05</x:v>
      </x:c>
      <x:c r="B21" s="20" t="str">
        <x:v>Detect</x:v>
      </x:c>
      <x:c r="C21" s="20" t="str">
        <x:v>Adverse Event Analysis</x:v>
      </x:c>
      <x:c r="D21" s="20" t="str">
        <x:v>Incident alerts are correlated and prioritized.</x:v>
      </x:c>
      <x:c r="E21" s="20" t="str">
        <x:v>Correlation exists for endpoint events but gaps remain across identity and cloud logs.</x:v>
      </x:c>
      <x:c r="F21" s="20" t="n">
        <x:v>2</x:v>
      </x:c>
      <x:c r="G21" s="20" t="n">
        <x:v>4</x:v>
      </x:c>
      <x:c r="H21" s="20" t="n">
        <x:f>G21-F21</x:f>
        <x:v>2</x:v>
      </x:c>
      <x:c r="I21" s="20" t="n">
        <x:v>4</x:v>
      </x:c>
      <x:c r="J21" s="20" t="n">
        <x:v>4</x:v>
      </x:c>
      <x:c r="K21" s="20" t="n">
        <x:f>I21*J21</x:f>
        <x:v>16</x:v>
      </x:c>
      <x:c r="L21" s="20" t="str">
        <x:f>IF(K21&gt;=20,"Critical",IF(K21&gt;=12,"High",IF(K21&gt;=6,"Medium","Low")))</x:f>
        <x:v>High</x:v>
      </x:c>
      <x:c r="M21" s="20" t="str">
        <x:v>SIEM correlation rules</x:v>
      </x:c>
      <x:c r="N21" s="20" t="str">
        <x:v>Expand correlation logic across identity, endpoint, DNS, firewall, and cloud logs.</x:v>
      </x:c>
      <x:c r="O21" s="20" t="str">
        <x:v>SOC Manager</x:v>
      </x:c>
      <x:c r="P21" s="30" t="n">
        <x:v>46294</x:v>
      </x:c>
      <x:c r="Q21" s="20" t="str">
        <x:v>Not Started</x:v>
      </x:c>
      <x:c r="R21" s="20" t="str"/>
    </x:row>
    <x:row r="22">
      <x:c r="A22" s="20" t="str">
        <x:v>RS.MA-01</x:v>
      </x:c>
      <x:c r="B22" s="20" t="str">
        <x:v>Respond</x:v>
      </x:c>
      <x:c r="C22" s="20" t="str">
        <x:v>Incident Management</x:v>
      </x:c>
      <x:c r="D22" s="20" t="str">
        <x:v>The incident response plan is executed during or after incidents.</x:v>
      </x:c>
      <x:c r="E22" s="20" t="str">
        <x:v>IR plan exists but has not been tested through a tabletop exercise this year.</x:v>
      </x:c>
      <x:c r="F22" s="20" t="n">
        <x:v>2</x:v>
      </x:c>
      <x:c r="G22" s="20" t="n">
        <x:v>4</x:v>
      </x:c>
      <x:c r="H22" s="20" t="n">
        <x:f>G22-F22</x:f>
        <x:v>2</x:v>
      </x:c>
      <x:c r="I22" s="20" t="n">
        <x:v>5</x:v>
      </x:c>
      <x:c r="J22" s="20" t="n">
        <x:v>4</x:v>
      </x:c>
      <x:c r="K22" s="20" t="n">
        <x:f>I22*J22</x:f>
        <x:v>20</x:v>
      </x:c>
      <x:c r="L22" s="20" t="str">
        <x:f>IF(K22&gt;=20,"Critical",IF(K22&gt;=12,"High",IF(K22&gt;=6,"Medium","Low")))</x:f>
        <x:v>Critical</x:v>
      </x:c>
      <x:c r="M22" s="20" t="str">
        <x:v>IR plan, exercise records</x:v>
      </x:c>
      <x:c r="N22" s="20" t="str">
        <x:v>Conduct annual tabletop exercise and document lessons learned.</x:v>
      </x:c>
      <x:c r="O22" s="20" t="str">
        <x:v>CISO</x:v>
      </x:c>
      <x:c r="P22" s="30" t="n">
        <x:v>46234</x:v>
      </x:c>
      <x:c r="Q22" s="20" t="str">
        <x:v>Not Started</x:v>
      </x:c>
      <x:c r="R22" s="20" t="str">
        <x:v>Critical gap.</x:v>
      </x:c>
    </x:row>
    <x:row r="23">
      <x:c r="A23" s="20" t="str">
        <x:v>RS.CO-02</x:v>
      </x:c>
      <x:c r="B23" s="20" t="str">
        <x:v>Respond</x:v>
      </x:c>
      <x:c r="C23" s="20" t="str">
        <x:v>Incident Communications</x:v>
      </x:c>
      <x:c r="D23" s="20" t="str">
        <x:v>Internal and external stakeholders are notified during incidents.</x:v>
      </x:c>
      <x:c r="E23" s="20" t="str">
        <x:v>Communication templates exist but legal, privacy, and executive notification triggers are unclear.</x:v>
      </x:c>
      <x:c r="F23" s="20" t="n">
        <x:v>2</x:v>
      </x:c>
      <x:c r="G23" s="20" t="n">
        <x:v>4</x:v>
      </x:c>
      <x:c r="H23" s="20" t="n">
        <x:f>G23-F23</x:f>
        <x:v>2</x:v>
      </x:c>
      <x:c r="I23" s="20" t="n">
        <x:v>4</x:v>
      </x:c>
      <x:c r="J23" s="20" t="n">
        <x:v>3</x:v>
      </x:c>
      <x:c r="K23" s="20" t="n">
        <x:f>I23*J23</x:f>
        <x:v>12</x:v>
      </x:c>
      <x:c r="L23" s="20" t="str">
        <x:f>IF(K23&gt;=20,"Critical",IF(K23&gt;=12,"High",IF(K23&gt;=6,"Medium","Low")))</x:f>
        <x:v>High</x:v>
      </x:c>
      <x:c r="M23" s="20" t="str">
        <x:v>IR comms plan, templates</x:v>
      </x:c>
      <x:c r="N23" s="20" t="str">
        <x:v>Define breach notification triggers and stakeholder communication matrix.</x:v>
      </x:c>
      <x:c r="O23" s="20" t="str">
        <x:v>Legal / Privacy</x:v>
      </x:c>
      <x:c r="P23" s="30" t="n">
        <x:v>46264</x:v>
      </x:c>
      <x:c r="Q23" s="20" t="str">
        <x:v>Not Started</x:v>
      </x:c>
      <x:c r="R23" s="20" t="str"/>
    </x:row>
    <x:row r="24">
      <x:c r="A24" s="20" t="str">
        <x:v>RS.AN-03</x:v>
      </x:c>
      <x:c r="B24" s="20" t="str">
        <x:v>Respond</x:v>
      </x:c>
      <x:c r="C24" s="20" t="str">
        <x:v>Incident Analysis</x:v>
      </x:c>
      <x:c r="D24" s="20" t="str">
        <x:v>Forensics and investigation artifacts are collected and preserved.</x:v>
      </x:c>
      <x:c r="E24" s="20" t="str">
        <x:v>Evidence handling is informal and not tied to a documented chain-of-custody process.</x:v>
      </x:c>
      <x:c r="F24" s="20" t="n">
        <x:v>2</x:v>
      </x:c>
      <x:c r="G24" s="20" t="n">
        <x:v>4</x:v>
      </x:c>
      <x:c r="H24" s="20" t="n">
        <x:f>G24-F24</x:f>
        <x:v>2</x:v>
      </x:c>
      <x:c r="I24" s="20" t="n">
        <x:v>4</x:v>
      </x:c>
      <x:c r="J24" s="20" t="n">
        <x:v>3</x:v>
      </x:c>
      <x:c r="K24" s="20" t="n">
        <x:f>I24*J24</x:f>
        <x:v>12</x:v>
      </x:c>
      <x:c r="L24" s="20" t="str">
        <x:f>IF(K24&gt;=20,"Critical",IF(K24&gt;=12,"High",IF(K24&gt;=6,"Medium","Low")))</x:f>
        <x:v>High</x:v>
      </x:c>
      <x:c r="M24" s="20" t="str">
        <x:v>SOC tickets, forensic notes</x:v>
      </x:c>
      <x:c r="N24" s="20" t="str">
        <x:v>Document evidence handling standards and chain-of-custody expectations.</x:v>
      </x:c>
      <x:c r="O24" s="20" t="str">
        <x:v>SOC Manager</x:v>
      </x:c>
      <x:c r="P24" s="30" t="n">
        <x:v>46294</x:v>
      </x:c>
      <x:c r="Q24" s="20" t="str">
        <x:v>Not Started</x:v>
      </x:c>
      <x:c r="R24" s="20" t="str"/>
    </x:row>
    <x:row r="25">
      <x:c r="A25" s="20" t="str">
        <x:v>RS.MI-01</x:v>
      </x:c>
      <x:c r="B25" s="20" t="str">
        <x:v>Respond</x:v>
      </x:c>
      <x:c r="C25" s="20" t="str">
        <x:v>Mitigation</x:v>
      </x:c>
      <x:c r="D25" s="20" t="str">
        <x:v>Incidents are contained, eradicated, and resolved.</x:v>
      </x:c>
      <x:c r="E25" s="20" t="str">
        <x:v>Containment steps are defined in some runbooks but not standardized across incident types.</x:v>
      </x:c>
      <x:c r="F25" s="20" t="n">
        <x:v>3</x:v>
      </x:c>
      <x:c r="G25" s="20" t="n">
        <x:v>4</x:v>
      </x:c>
      <x:c r="H25" s="20" t="n">
        <x:f>G25-F25</x:f>
        <x:v>1</x:v>
      </x:c>
      <x:c r="I25" s="20" t="n">
        <x:v>4</x:v>
      </x:c>
      <x:c r="J25" s="20" t="n">
        <x:v>3</x:v>
      </x:c>
      <x:c r="K25" s="20" t="n">
        <x:f>I25*J25</x:f>
        <x:v>12</x:v>
      </x:c>
      <x:c r="L25" s="20" t="str">
        <x:f>IF(K25&gt;=20,"Critical",IF(K25&gt;=12,"High",IF(K25&gt;=6,"Medium","Low")))</x:f>
        <x:v>High</x:v>
      </x:c>
      <x:c r="M25" s="20" t="str">
        <x:v>SOC runbooks</x:v>
      </x:c>
      <x:c r="N25" s="20" t="str">
        <x:v>Create incident-specific playbooks for phishing, malware, identity compromise, and data exposure.</x:v>
      </x:c>
      <x:c r="O25" s="20" t="str">
        <x:v>SOC Manager</x:v>
      </x:c>
      <x:c r="P25" s="30" t="n">
        <x:v>46279</x:v>
      </x:c>
      <x:c r="Q25" s="20" t="str">
        <x:v>In Progress</x:v>
      </x:c>
      <x:c r="R25" s="20" t="str"/>
    </x:row>
    <x:row r="26">
      <x:c r="A26" s="20" t="str">
        <x:v>RC.RP-01</x:v>
      </x:c>
      <x:c r="B26" s="20" t="str">
        <x:v>Recover</x:v>
      </x:c>
      <x:c r="C26" s="20" t="str">
        <x:v>Recovery Planning</x:v>
      </x:c>
      <x:c r="D26" s="20" t="str">
        <x:v>Recovery plan is executed during or after incidents.</x:v>
      </x:c>
      <x:c r="E26" s="20" t="str">
        <x:v>BCP/DR plan exists but RTO/RPO mappings are incomplete for critical systems.</x:v>
      </x:c>
      <x:c r="F26" s="20" t="n">
        <x:v>2</x:v>
      </x:c>
      <x:c r="G26" s="20" t="n">
        <x:v>4</x:v>
      </x:c>
      <x:c r="H26" s="20" t="n">
        <x:f>G26-F26</x:f>
        <x:v>2</x:v>
      </x:c>
      <x:c r="I26" s="20" t="n">
        <x:v>5</x:v>
      </x:c>
      <x:c r="J26" s="20" t="n">
        <x:v>4</x:v>
      </x:c>
      <x:c r="K26" s="20" t="n">
        <x:f>I26*J26</x:f>
        <x:v>20</x:v>
      </x:c>
      <x:c r="L26" s="20" t="str">
        <x:f>IF(K26&gt;=20,"Critical",IF(K26&gt;=12,"High",IF(K26&gt;=6,"Medium","Low")))</x:f>
        <x:v>Critical</x:v>
      </x:c>
      <x:c r="M26" s="20" t="str">
        <x:v>DR plan, system inventory</x:v>
      </x:c>
      <x:c r="N26" s="20" t="str">
        <x:v>Map critical systems to RTO/RPO and test recovery procedures.</x:v>
      </x:c>
      <x:c r="O26" s="20" t="str">
        <x:v>Business Continuity Lead</x:v>
      </x:c>
      <x:c r="P26" s="30" t="n">
        <x:v>46264</x:v>
      </x:c>
      <x:c r="Q26" s="20" t="str">
        <x:v>Not Started</x:v>
      </x:c>
      <x:c r="R26" s="20" t="str"/>
    </x:row>
    <x:row r="27">
      <x:c r="A27" s="20" t="str">
        <x:v>RC.CO-03</x:v>
      </x:c>
      <x:c r="B27" s="20" t="str">
        <x:v>Recover</x:v>
      </x:c>
      <x:c r="C27" s="20" t="str">
        <x:v>Recovery Communications</x:v>
      </x:c>
      <x:c r="D27" s="20" t="str">
        <x:v>Recovery activities are communicated to stakeholders.</x:v>
      </x:c>
      <x:c r="E27" s="20" t="str">
        <x:v>Customer and internal recovery communications are not fully templated or exercised.</x:v>
      </x:c>
      <x:c r="F27" s="20" t="n">
        <x:v>2</x:v>
      </x:c>
      <x:c r="G27" s="20" t="n">
        <x:v>4</x:v>
      </x:c>
      <x:c r="H27" s="20" t="n">
        <x:f>G27-F27</x:f>
        <x:v>2</x:v>
      </x:c>
      <x:c r="I27" s="20" t="n">
        <x:v>4</x:v>
      </x:c>
      <x:c r="J27" s="20" t="n">
        <x:v>3</x:v>
      </x:c>
      <x:c r="K27" s="20" t="n">
        <x:f>I27*J27</x:f>
        <x:v>12</x:v>
      </x:c>
      <x:c r="L27" s="20" t="str">
        <x:f>IF(K27&gt;=20,"Critical",IF(K27&gt;=12,"High",IF(K27&gt;=6,"Medium","Low")))</x:f>
        <x:v>High</x:v>
      </x:c>
      <x:c r="M27" s="20" t="str">
        <x:v>Comms templates</x:v>
      </x:c>
      <x:c r="N27" s="20" t="str">
        <x:v>Create recovery communication templates and exercise them during tabletop tests.</x:v>
      </x:c>
      <x:c r="O27" s="20" t="str">
        <x:v>Legal / Privacy</x:v>
      </x:c>
      <x:c r="P27" s="30" t="n">
        <x:v>46294</x:v>
      </x:c>
      <x:c r="Q27" s="20" t="str">
        <x:v>Not Started</x:v>
      </x:c>
      <x:c r="R27" s="20" t="str"/>
    </x:row>
    <x:row r="28">
      <x:c r="A28" s="20" t="str">
        <x:v>RC.IM-01</x:v>
      </x:c>
      <x:c r="B28" s="20" t="str">
        <x:v>Recover</x:v>
      </x:c>
      <x:c r="C28" s="20" t="str">
        <x:v>Improvement</x:v>
      </x:c>
      <x:c r="D28" s="20" t="str">
        <x:v>Recovery plans incorporate lessons learned.</x:v>
      </x:c>
      <x:c r="E28" s="20" t="str">
        <x:v>Lessons learned are documented inconsistently after incidents and exercises.</x:v>
      </x:c>
      <x:c r="F28" s="20" t="n">
        <x:v>2</x:v>
      </x:c>
      <x:c r="G28" s="20" t="n">
        <x:v>4</x:v>
      </x:c>
      <x:c r="H28" s="20" t="n">
        <x:f>G28-F28</x:f>
        <x:v>2</x:v>
      </x:c>
      <x:c r="I28" s="20" t="n">
        <x:v>3</x:v>
      </x:c>
      <x:c r="J28" s="20" t="n">
        <x:v>3</x:v>
      </x:c>
      <x:c r="K28" s="20" t="n">
        <x:f>I28*J28</x:f>
        <x:v>9</x:v>
      </x:c>
      <x:c r="L28" s="20" t="str">
        <x:f>IF(K28&gt;=20,"Critical",IF(K28&gt;=12,"High",IF(K28&gt;=6,"Medium","Low")))</x:f>
        <x:v>Medium</x:v>
      </x:c>
      <x:c r="M28" s="20" t="str">
        <x:v>Post-incident reports</x:v>
      </x:c>
      <x:c r="N28" s="20" t="str">
        <x:v>Standardize after-action reports and track improvement items to closure.</x:v>
      </x:c>
      <x:c r="O28" s="20" t="str">
        <x:v>Business Continuity Lead</x:v>
      </x:c>
      <x:c r="P28" s="30" t="n">
        <x:v>46294</x:v>
      </x:c>
      <x:c r="Q28" s="20" t="str">
        <x:v>Not Started</x:v>
      </x:c>
      <x:c r="R28" s="20" t="str"/>
    </x:row>
  </x:sheetData>
  <x:conditionalFormatting sqref="K2:K28">
    <x:cfRule type="dataBar" priority="1">
      <x:dataBar>
        <x:cfvo type="min"/>
        <x:cfvo type="max"/>
        <x:color rgb="FFDC2626"/>
      </x:dataBar>
      <x:extLst>
        <x:ext xmlns:x14="http://schemas.microsoft.com/office/spreadsheetml/2009/9/main" uri="{B025F937-C7B1-47D3-B67F-A62EFF666E3E}">
          <x14:id>{DE0161ED-AA73-3346-A52F-E9394A8D9612}</x14:id>
        </x:ext>
      </x:extLst>
    </x:cfRule>
  </x:conditionalFormatting>
  <x:conditionalFormatting sqref="L2:L28">
    <x:cfRule type="expression" dxfId="0" priority="2">
      <x:formula>L2="Critical"</x:formula>
    </x:cfRule>
    <x:cfRule type="expression" dxfId="1" priority="3">
      <x:formula>L2="High"</x:formula>
    </x:cfRule>
    <x:cfRule type="expression" dxfId="2" priority="4">
      <x:formula>L2="Medium"</x:formula>
    </x:cfRule>
    <x:cfRule type="expression" dxfId="3" priority="5">
      <x:formula>L2="Low"</x:formula>
    </x:cfRule>
  </x:conditionalFormatting>
  <x:dataValidations count="5">
    <x:dataValidation type="list" sqref="B2:B28">
      <x:formula1>"Govern,Identify,Protect,Detect,Respond,Recover"</x:formula1>
    </x:dataValidation>
    <x:dataValidation type="list" sqref="O2:O28">
      <x:formula1>"CISO,GRC Manager,Security Engineering,IT Operations,SOC Manager,Vendor Manager,Business Continuity Lead,HR / Training,Legal / Privacy"</x:formula1>
    </x:dataValidation>
    <x:dataValidation type="list" sqref="Q2:Q28">
      <x:formula1>"Not Started,In Progress,Blocked,Complete"</x:formula1>
    </x:dataValidation>
    <x:dataValidation type="list" sqref="F2:G28">
      <x:formula1>"1,2,3,4,5"</x:formula1>
    </x:dataValidation>
    <x:dataValidation type="list" sqref="I2:J28">
      <x:formula1>"1,2,3,4,5"</x:formula1>
    </x:dataValidation>
  </x:dataValidations>
  <x:pageMargins left="0.7" right="0.7" top="0.75" bottom="0.75" header="0.3" footer="0.3"/>
  <x:tableParts count="1">
    <x:tablePart xmlns:r="http://schemas.openxmlformats.org/officeDocument/2006/relationships" r:id="R7bbb13572c7d4954"/>
  </x:tableParts>
  <x:extLst>
    <x:ext xmlns:x14="http://schemas.microsoft.com/office/spreadsheetml/2009/9/main" xmlns:xm="http://schemas.microsoft.com/office/excel/2006/main" uri="{78C0D931-6437-407d-A8EE-F0AAD7539E65}">
      <x14:conditionalFormattings>
        <x14:conditionalFormatting>
          <x14:cfRule type="dataBar" priority="1" id="{DE0161ED-AA73-3346-A52F-E9394A8D9612}">
            <x14:dataBar gradient="1">
              <x14:cfvo type="min"/>
              <x14:cfvo type="max"/>
              <x14:fillColor rgb="FFDC2626"/>
            </x14:dataBar>
          </x14:cfRule>
          <xm:sqref>K2:K28</xm:sqref>
        </x14:conditionalFormatting>
      </x14:conditionalFormattings>
    </x:ext>
  </x:extLst>
</x:worksheet>
</file>

<file path=xl/worksheets/sheet3.xml><?xml version="1.0" encoding="utf-8"?>
<x:worksheet xmlns:x="http://schemas.openxmlformats.org/spreadsheetml/2006/main">
  <x:sheetFormatPr defaultRowHeight="15"/>
  <x:cols>
    <x:col min="1" max="1" width="10" hidden="0" customWidth="1"/>
    <x:col min="2" max="2" width="55" hidden="0" customWidth="1"/>
    <x:col min="3" max="3" width="14" hidden="0" customWidth="1"/>
    <x:col min="4" max="4" width="8" hidden="0" customWidth="1"/>
    <x:col min="5" max="5" width="10" hidden="0" customWidth="1"/>
    <x:col min="6" max="6" width="12" hidden="0" customWidth="1"/>
    <x:col min="7" max="7" width="35" hidden="0" customWidth="1"/>
    <x:col min="8" max="8" width="12" hidden="0" customWidth="1"/>
    <x:col min="9" max="9" width="55" hidden="0" customWidth="1"/>
    <x:col min="10" max="10" width="22" hidden="0" customWidth="1"/>
    <x:col min="11" max="11" width="13" hidden="0" customWidth="1"/>
    <x:col min="12" max="12" width="14" hidden="0" customWidth="1"/>
  </x:cols>
  <x:sheetData>
    <x:row r="1">
      <x:c r="A1" s="48" t="str">
        <x:v>Risk ID</x:v>
      </x:c>
      <x:c r="B1" s="48" t="str">
        <x:v>Risk Statement</x:v>
      </x:c>
      <x:c r="C1" s="48" t="str">
        <x:v>CSF Function</x:v>
      </x:c>
      <x:c r="D1" s="48" t="str">
        <x:v>Impact</x:v>
      </x:c>
      <x:c r="E1" s="48" t="str">
        <x:v>Likelihood</x:v>
      </x:c>
      <x:c r="F1" s="48" t="str">
        <x:v>Inherent Risk</x:v>
      </x:c>
      <x:c r="G1" s="48" t="str">
        <x:v>Existing Controls</x:v>
      </x:c>
      <x:c r="H1" s="48" t="str">
        <x:v>Residual Risk</x:v>
      </x:c>
      <x:c r="I1" s="48" t="str">
        <x:v>Treatment Plan</x:v>
      </x:c>
      <x:c r="J1" s="48" t="str">
        <x:v>Owner</x:v>
      </x:c>
      <x:c r="K1" s="48" t="str">
        <x:v>Due Date</x:v>
      </x:c>
      <x:c r="L1" s="48" t="str">
        <x:v>Status</x:v>
      </x:c>
      <x:c r="M1" s="45"/>
      <x:c r="N1" s="45"/>
      <x:c r="O1" s="45"/>
      <x:c r="P1" s="45"/>
      <x:c r="Q1" s="45"/>
      <x:c r="R1" s="45"/>
      <x:c r="S1" s="45"/>
      <x:c r="T1" s="45"/>
      <x:c r="U1" s="45"/>
      <x:c r="V1" s="45"/>
      <x:c r="W1" s="45"/>
      <x:c r="X1" s="45"/>
      <x:c r="Y1" s="45"/>
      <x:c r="Z1" s="45"/>
    </x:row>
    <x:row r="2">
      <x:c r="A2" s="20" t="str">
        <x:v>R-001</x:v>
      </x:c>
      <x:c r="B2" s="20" t="str">
        <x:v>Privileged access is not reviewed quarterly, increasing likelihood of unauthorized access.</x:v>
      </x:c>
      <x:c r="C2" s="20" t="str">
        <x:v>Protect</x:v>
      </x:c>
      <x:c r="D2" s="20" t="n">
        <x:v>5</x:v>
      </x:c>
      <x:c r="E2" s="20" t="n">
        <x:v>4</x:v>
      </x:c>
      <x:c r="F2" s="20" t="n">
        <x:f>D2*E2</x:f>
        <x:v>20</x:v>
      </x:c>
      <x:c r="G2" s="20" t="str">
        <x:v>MFA, IAM logging</x:v>
      </x:c>
      <x:c r="H2" s="20" t="n">
        <x:v>12</x:v>
      </x:c>
      <x:c r="I2" s="20" t="str">
        <x:v>Create quarterly privileged access review with evidence retention.</x:v>
      </x:c>
      <x:c r="J2" s="20" t="str">
        <x:v>IT Operations</x:v>
      </x:c>
      <x:c r="K2" s="30" t="n">
        <x:v>46234</x:v>
      </x:c>
      <x:c r="L2" s="20" t="str">
        <x:v>Not Started</x:v>
      </x:c>
    </x:row>
    <x:row r="3">
      <x:c r="A3" s="20" t="str">
        <x:v>R-002</x:v>
      </x:c>
      <x:c r="B3" s="20" t="str">
        <x:v>Incomplete vendor security reviews may expose company data or operations to third-party risk.</x:v>
      </x:c>
      <x:c r="C3" s="20" t="str">
        <x:v>Govern</x:v>
      </x:c>
      <x:c r="D3" s="20" t="n">
        <x:v>5</x:v>
      </x:c>
      <x:c r="E3" s="20" t="n">
        <x:v>4</x:v>
      </x:c>
      <x:c r="F3" s="20" t="n">
        <x:f>D3*E3</x:f>
        <x:v>20</x:v>
      </x:c>
      <x:c r="G3" s="20" t="str">
        <x:v>Critical vendor list</x:v>
      </x:c>
      <x:c r="H3" s="20" t="n">
        <x:v>15</x:v>
      </x:c>
      <x:c r="I3" s="20" t="str">
        <x:v>Implement vendor tiering and annual reviews for critical vendors.</x:v>
      </x:c>
      <x:c r="J3" s="20" t="str">
        <x:v>Vendor Manager</x:v>
      </x:c>
      <x:c r="K3" s="30" t="n">
        <x:v>46249</x:v>
      </x:c>
      <x:c r="L3" s="20" t="str">
        <x:v>Not Started</x:v>
      </x:c>
    </x:row>
    <x:row r="4">
      <x:c r="A4" s="20" t="str">
        <x:v>R-003</x:v>
      </x:c>
      <x:c r="B4" s="20" t="str">
        <x:v>Restore testing is not consistently documented, reducing confidence in recoverability.</x:v>
      </x:c>
      <x:c r="C4" s="20" t="str">
        <x:v>Recover</x:v>
      </x:c>
      <x:c r="D4" s="20" t="n">
        <x:v>5</x:v>
      </x:c>
      <x:c r="E4" s="20" t="n">
        <x:v>4</x:v>
      </x:c>
      <x:c r="F4" s="20" t="n">
        <x:f>D4*E4</x:f>
        <x:v>20</x:v>
      </x:c>
      <x:c r="G4" s="20" t="str">
        <x:v>Backup jobs configured</x:v>
      </x:c>
      <x:c r="H4" s="20" t="n">
        <x:v>12</x:v>
      </x:c>
      <x:c r="I4" s="20" t="str">
        <x:v>Run quarterly restore tests and store evidence.</x:v>
      </x:c>
      <x:c r="J4" s="20" t="str">
        <x:v>Business Continuity Lead</x:v>
      </x:c>
      <x:c r="K4" s="30" t="n">
        <x:v>46249</x:v>
      </x:c>
      <x:c r="L4" s="20" t="str">
        <x:v>Not Started</x:v>
      </x:c>
    </x:row>
    <x:row r="5">
      <x:c r="A5" s="20" t="str">
        <x:v>R-004</x:v>
      </x:c>
      <x:c r="B5" s="20" t="str">
        <x:v>Incident response plan has not been exercised this year, creating uncertainty during a real incident.</x:v>
      </x:c>
      <x:c r="C5" s="20" t="str">
        <x:v>Respond</x:v>
      </x:c>
      <x:c r="D5" s="20" t="n">
        <x:v>5</x:v>
      </x:c>
      <x:c r="E5" s="20" t="n">
        <x:v>4</x:v>
      </x:c>
      <x:c r="F5" s="20" t="n">
        <x:f>D5*E5</x:f>
        <x:v>20</x:v>
      </x:c>
      <x:c r="G5" s="20" t="str">
        <x:v>IR plan</x:v>
      </x:c>
      <x:c r="H5" s="20" t="n">
        <x:v>12</x:v>
      </x:c>
      <x:c r="I5" s="20" t="str">
        <x:v>Conduct tabletop exercise and document lessons learned.</x:v>
      </x:c>
      <x:c r="J5" s="20" t="str">
        <x:v>CISO</x:v>
      </x:c>
      <x:c r="K5" s="30" t="n">
        <x:v>46234</x:v>
      </x:c>
      <x:c r="L5" s="20" t="str">
        <x:v>Not Started</x:v>
      </x:c>
    </x:row>
    <x:row r="6">
      <x:c r="A6" s="20" t="str">
        <x:v>R-005</x:v>
      </x:c>
      <x:c r="B6" s="20" t="str">
        <x:v>Cloud assets lack consistent ownership and criticality tags.</x:v>
      </x:c>
      <x:c r="C6" s="20" t="str">
        <x:v>Identify</x:v>
      </x:c>
      <x:c r="D6" s="20" t="n">
        <x:v>5</x:v>
      </x:c>
      <x:c r="E6" s="20" t="n">
        <x:v>4</x:v>
      </x:c>
      <x:c r="F6" s="20" t="n">
        <x:f>D6*E6</x:f>
        <x:v>20</x:v>
      </x:c>
      <x:c r="G6" s="20" t="str">
        <x:v>CMDB partial export</x:v>
      </x:c>
      <x:c r="H6" s="20" t="n">
        <x:v>12</x:v>
      </x:c>
      <x:c r="I6" s="20" t="str">
        <x:v>Implement authoritative asset inventory and tagging enforcement.</x:v>
      </x:c>
      <x:c r="J6" s="20" t="str">
        <x:v>IT Operations</x:v>
      </x:c>
      <x:c r="K6" s="30" t="n">
        <x:v>46264</x:v>
      </x:c>
      <x:c r="L6" s="20" t="str">
        <x:v>In Progress</x:v>
      </x:c>
    </x:row>
    <x:row r="7">
      <x:c r="A7" s="20" t="str">
        <x:v>R-006</x:v>
      </x:c>
      <x:c r="B7" s="20" t="str">
        <x:v>SIEM coverage gaps reduce visibility across identity, SaaS, and cloud events.</x:v>
      </x:c>
      <x:c r="C7" s="20" t="str">
        <x:v>Detect</x:v>
      </x:c>
      <x:c r="D7" s="20" t="n">
        <x:v>4</x:v>
      </x:c>
      <x:c r="E7" s="20" t="n">
        <x:v>4</x:v>
      </x:c>
      <x:c r="F7" s="20" t="n">
        <x:f>D7*E7</x:f>
        <x:v>16</x:v>
      </x:c>
      <x:c r="G7" s="20" t="str">
        <x:v>Endpoint and firewall logs</x:v>
      </x:c>
      <x:c r="H7" s="20" t="n">
        <x:v>9</x:v>
      </x:c>
      <x:c r="I7" s="20" t="str">
        <x:v>Build log coverage matrix and onboard missing sources.</x:v>
      </x:c>
      <x:c r="J7" s="20" t="str">
        <x:v>SOC Manager</x:v>
      </x:c>
      <x:c r="K7" s="30" t="n">
        <x:v>46264</x:v>
      </x:c>
      <x:c r="L7" s="20" t="str">
        <x:v>In Progress</x:v>
      </x:c>
    </x:row>
    <x:row r="8">
      <x:c r="A8" s="20" t="str">
        <x:v>R-007</x:v>
      </x:c>
      <x:c r="B8" s="20" t="str">
        <x:v>Service accounts are not consistently owned or reviewed.</x:v>
      </x:c>
      <x:c r="C8" s="20" t="str">
        <x:v>Protect</x:v>
      </x:c>
      <x:c r="D8" s="20" t="n">
        <x:v>4</x:v>
      </x:c>
      <x:c r="E8" s="20" t="n">
        <x:v>4</x:v>
      </x:c>
      <x:c r="F8" s="20" t="n">
        <x:f>D8*E8</x:f>
        <x:v>16</x:v>
      </x:c>
      <x:c r="G8" s="20" t="str">
        <x:v>MFA for users</x:v>
      </x:c>
      <x:c r="H8" s="20" t="n">
        <x:v>9</x:v>
      </x:c>
      <x:c r="I8" s="20" t="str">
        <x:v>Assign service account owners and quarterly review.</x:v>
      </x:c>
      <x:c r="J8" s="20" t="str">
        <x:v>Security Engineering</x:v>
      </x:c>
      <x:c r="K8" s="30" t="n">
        <x:v>46264</x:v>
      </x:c>
      <x:c r="L8" s="20" t="str">
        <x:v>Not Started</x:v>
      </x:c>
    </x:row>
    <x:row r="9">
      <x:c r="A9" s="20" t="str">
        <x:v>R-008</x:v>
      </x:c>
      <x:c r="B9" s="20" t="str">
        <x:v>Risk methodology is inconsistently applied across findings and exceptions.</x:v>
      </x:c>
      <x:c r="C9" s="20" t="str">
        <x:v>Govern</x:v>
      </x:c>
      <x:c r="D9" s="20" t="n">
        <x:v>5</x:v>
      </x:c>
      <x:c r="E9" s="20" t="n">
        <x:v>4</x:v>
      </x:c>
      <x:c r="F9" s="20" t="n">
        <x:f>D9*E9</x:f>
        <x:v>20</x:v>
      </x:c>
      <x:c r="G9" s="20" t="str">
        <x:v>Risk register</x:v>
      </x:c>
      <x:c r="H9" s="20" t="n">
        <x:v>10</x:v>
      </x:c>
      <x:c r="I9" s="20" t="str">
        <x:v>Formalize risk scoring and review cadence.</x:v>
      </x:c>
      <x:c r="J9" s="20" t="str">
        <x:v>GRC Manager</x:v>
      </x:c>
      <x:c r="K9" s="30" t="n">
        <x:v>46234</x:v>
      </x:c>
      <x:c r="L9" s="20" t="str">
        <x:v>Not Started</x:v>
      </x:c>
    </x:row>
    <x:row r="10">
      <x:c r="A10" s="20" t="str">
        <x:v>R-009</x:v>
      </x:c>
      <x:c r="B10" s="20" t="str">
        <x:v>Recovery communications are not templated, delaying stakeholder updates during outages.</x:v>
      </x:c>
      <x:c r="C10" s="20" t="str">
        <x:v>Recover</x:v>
      </x:c>
      <x:c r="D10" s="20" t="n">
        <x:v>4</x:v>
      </x:c>
      <x:c r="E10" s="20" t="n">
        <x:v>3</x:v>
      </x:c>
      <x:c r="F10" s="20" t="n">
        <x:f>D10*E10</x:f>
        <x:v>12</x:v>
      </x:c>
      <x:c r="G10" s="20" t="str">
        <x:v>General comms channels</x:v>
      </x:c>
      <x:c r="H10" s="20" t="n">
        <x:v>8</x:v>
      </x:c>
      <x:c r="I10" s="20" t="str">
        <x:v>Create and test recovery communication templates.</x:v>
      </x:c>
      <x:c r="J10" s="20" t="str">
        <x:v>Legal / Privacy</x:v>
      </x:c>
      <x:c r="K10" s="30" t="n">
        <x:v>46294</x:v>
      </x:c>
      <x:c r="L10" s="20" t="str">
        <x:v>Not Started</x:v>
      </x:c>
    </x:row>
    <x:row r="11">
      <x:c r="A11" s="20" t="str">
        <x:v>R-010</x:v>
      </x:c>
      <x:c r="B11" s="20" t="str">
        <x:v>Training exceptions are not escalated consistently.</x:v>
      </x:c>
      <x:c r="C11" s="20" t="str">
        <x:v>Protect</x:v>
      </x:c>
      <x:c r="D11" s="20" t="n">
        <x:v>3</x:v>
      </x:c>
      <x:c r="E11" s="20" t="n">
        <x:v>3</x:v>
      </x:c>
      <x:c r="F11" s="20" t="n">
        <x:f>D11*E11</x:f>
        <x:v>9</x:v>
      </x:c>
      <x:c r="G11" s="20" t="str">
        <x:v>Annual training platform</x:v>
      </x:c>
      <x:c r="H11" s="20" t="n">
        <x:v>6</x:v>
      </x:c>
      <x:c r="I11" s="20" t="str">
        <x:v>Define overdue training escalation workflow.</x:v>
      </x:c>
      <x:c r="J11" s="20" t="str">
        <x:v>HR / Training</x:v>
      </x:c>
      <x:c r="K11" s="30" t="n">
        <x:v>46264</x:v>
      </x:c>
      <x:c r="L11" s="20" t="str">
        <x:v>In Progress</x:v>
      </x:c>
    </x:row>
  </x:sheetData>
  <x:conditionalFormatting sqref="F2:F11">
    <x:cfRule type="dataBar" priority="1">
      <x:dataBar>
        <x:cfvo type="min"/>
        <x:cfvo type="max"/>
        <x:color rgb="FFDC2626"/>
      </x:dataBar>
      <x:extLst>
        <x:ext xmlns:x14="http://schemas.microsoft.com/office/spreadsheetml/2009/9/main" uri="{B025F937-C7B1-47D3-B67F-A62EFF666E3E}">
          <x14:id>{286EABED-4A31-65FE-C310-E99AFBE89E71}</x14:id>
        </x:ext>
      </x:extLst>
    </x:cfRule>
  </x:conditionalFormatting>
  <x:dataValidations count="2">
    <x:dataValidation type="list" sqref="L2:L11">
      <x:formula1>"Not Started,In Progress,Blocked,Complete"</x:formula1>
    </x:dataValidation>
    <x:dataValidation type="list" sqref="J2:J11">
      <x:formula1>"CISO,GRC Manager,Security Engineering,IT Operations,SOC Manager,Vendor Manager,Business Continuity Lead,HR / Training,Legal / Privacy"</x:formula1>
    </x:dataValidation>
  </x:dataValidations>
  <x:pageMargins left="0.7" right="0.7" top="0.75" bottom="0.75" header="0.3" footer="0.3"/>
  <x:tableParts count="1">
    <x:tablePart xmlns:r="http://schemas.openxmlformats.org/officeDocument/2006/relationships" r:id="R3a9c7223bce6488e"/>
  </x:tableParts>
  <x:extLst>
    <x:ext xmlns:x14="http://schemas.microsoft.com/office/spreadsheetml/2009/9/main" xmlns:xm="http://schemas.microsoft.com/office/excel/2006/main" uri="{78C0D931-6437-407d-A8EE-F0AAD7539E65}">
      <x14:conditionalFormattings>
        <x14:conditionalFormatting>
          <x14:cfRule type="dataBar" priority="1" id="{286EABED-4A31-65FE-C310-E99AFBE89E71}">
            <x14:dataBar gradient="1">
              <x14:cfvo type="min"/>
              <x14:cfvo type="max"/>
              <x14:fillColor rgb="FFDC2626"/>
            </x14:dataBar>
          </x14:cfRule>
          <xm:sqref>F2:F11</xm:sqref>
        </x14:conditionalFormatting>
      </x14:conditionalFormattings>
    </x:ext>
  </x:extLst>
</x:worksheet>
</file>

<file path=xl/worksheets/sheet4.xml><?xml version="1.0" encoding="utf-8"?>
<x:worksheet xmlns:x="http://schemas.openxmlformats.org/spreadsheetml/2006/main">
  <x:sheetFormatPr defaultRowHeight="15"/>
  <x:cols>
    <x:col min="1" max="1" width="12" hidden="0" customWidth="1"/>
    <x:col min="2" max="2" width="16" hidden="0" customWidth="1"/>
    <x:col min="3" max="3" width="45" hidden="0" customWidth="1"/>
    <x:col min="4" max="4" width="18" hidden="0" customWidth="1"/>
    <x:col min="5" max="5" width="12" hidden="0" customWidth="1"/>
    <x:col min="6" max="6" width="22" hidden="0" customWidth="1"/>
    <x:col min="7" max="7" width="48" hidden="0" customWidth="1"/>
    <x:col min="8" max="8" width="30" hidden="0" customWidth="1"/>
    <x:col min="9" max="9" width="14" hidden="0" customWidth="1"/>
  </x:cols>
  <x:sheetData>
    <x:row r="1">
      <x:c r="A1" s="48" t="str">
        <x:v>Phase</x:v>
      </x:c>
      <x:c r="B1" s="48" t="str">
        <x:v>Timeframe</x:v>
      </x:c>
      <x:c r="C1" s="48" t="str">
        <x:v>Initiative</x:v>
      </x:c>
      <x:c r="D1" s="48" t="str">
        <x:v>Related CSF Function</x:v>
      </x:c>
      <x:c r="E1" s="48" t="str">
        <x:v>Priority</x:v>
      </x:c>
      <x:c r="F1" s="48" t="str">
        <x:v>Owner</x:v>
      </x:c>
      <x:c r="G1" s="48" t="str">
        <x:v>Success Criteria</x:v>
      </x:c>
      <x:c r="H1" s="48" t="str">
        <x:v>Dependency</x:v>
      </x:c>
      <x:c r="I1" s="48" t="str">
        <x:v>Status</x:v>
      </x:c>
      <x:c r="J1" s="45"/>
      <x:c r="K1" s="45"/>
      <x:c r="L1" s="45"/>
      <x:c r="M1" s="45"/>
      <x:c r="N1" s="45"/>
      <x:c r="O1" s="45"/>
      <x:c r="P1" s="45"/>
      <x:c r="Q1" s="45"/>
      <x:c r="R1" s="45"/>
      <x:c r="S1" s="45"/>
      <x:c r="T1" s="45"/>
      <x:c r="U1" s="45"/>
      <x:c r="V1" s="45"/>
      <x:c r="W1" s="45"/>
      <x:c r="X1" s="45"/>
      <x:c r="Y1" s="45"/>
      <x:c r="Z1" s="45"/>
    </x:row>
    <x:row r="2">
      <x:c r="A2" s="20" t="str">
        <x:v>30 Days</x:v>
      </x:c>
      <x:c r="B2" s="20" t="str">
        <x:v>Quick Win</x:v>
      </x:c>
      <x:c r="C2" s="20" t="str">
        <x:v>Approve risk scoring methodology and review cadence</x:v>
      </x:c>
      <x:c r="D2" s="20" t="str">
        <x:v>Govern</x:v>
      </x:c>
      <x:c r="E2" s="20" t="str">
        <x:v>High</x:v>
      </x:c>
      <x:c r="F2" s="20" t="str">
        <x:v>GRC Manager</x:v>
      </x:c>
      <x:c r="G2" s="20" t="str">
        <x:v>Risk methodology approved and used in tracker</x:v>
      </x:c>
      <x:c r="H2" s="20" t="str">
        <x:v>Executive sponsor</x:v>
      </x:c>
      <x:c r="I2" s="20" t="str">
        <x:v>Not Started</x:v>
      </x:c>
    </x:row>
    <x:row r="3">
      <x:c r="A3" s="20" t="str">
        <x:v>30 Days</x:v>
      </x:c>
      <x:c r="B3" s="20" t="str">
        <x:v>Quick Win</x:v>
      </x:c>
      <x:c r="C3" s="20" t="str">
        <x:v>Launch quarterly privileged access review</x:v>
      </x:c>
      <x:c r="D3" s="20" t="str">
        <x:v>Protect</x:v>
      </x:c>
      <x:c r="E3" s="20" t="str">
        <x:v>Critical</x:v>
      </x:c>
      <x:c r="F3" s="20" t="str">
        <x:v>IT Operations</x:v>
      </x:c>
      <x:c r="G3" s="20" t="str">
        <x:v>Review completed with approvals and retained evidence</x:v>
      </x:c>
      <x:c r="H3" s="20" t="str">
        <x:v>IAM export</x:v>
      </x:c>
      <x:c r="I3" s="20" t="str">
        <x:v>Not Started</x:v>
      </x:c>
    </x:row>
    <x:row r="4">
      <x:c r="A4" s="20" t="str">
        <x:v>30 Days</x:v>
      </x:c>
      <x:c r="B4" s="20" t="str">
        <x:v>Quick Win</x:v>
      </x:c>
      <x:c r="C4" s="20" t="str">
        <x:v>Conduct incident response tabletop exercise</x:v>
      </x:c>
      <x:c r="D4" s="20" t="str">
        <x:v>Respond</x:v>
      </x:c>
      <x:c r="E4" s="20" t="str">
        <x:v>Critical</x:v>
      </x:c>
      <x:c r="F4" s="20" t="str">
        <x:v>CISO</x:v>
      </x:c>
      <x:c r="G4" s="20" t="str">
        <x:v>Exercise completed with lessons learned and remediation items</x:v>
      </x:c>
      <x:c r="H4" s="20" t="str">
        <x:v>Leadership availability</x:v>
      </x:c>
      <x:c r="I4" s="20" t="str">
        <x:v>Not Started</x:v>
      </x:c>
    </x:row>
    <x:row r="5">
      <x:c r="A5" s="20" t="str">
        <x:v>60 Days</x:v>
      </x:c>
      <x:c r="B5" s="20" t="str">
        <x:v>Near Term</x:v>
      </x:c>
      <x:c r="C5" s="20" t="str">
        <x:v>Implement asset owner and criticality tagging</x:v>
      </x:c>
      <x:c r="D5" s="20" t="str">
        <x:v>Identify</x:v>
      </x:c>
      <x:c r="E5" s="20" t="str">
        <x:v>High</x:v>
      </x:c>
      <x:c r="F5" s="20" t="str">
        <x:v>IT Operations</x:v>
      </x:c>
      <x:c r="G5" s="20" t="str">
        <x:v>95% critical cloud assets tagged with owner and criticality</x:v>
      </x:c>
      <x:c r="H5" s="20" t="str">
        <x:v>Cloud admin support</x:v>
      </x:c>
      <x:c r="I5" s="20" t="str">
        <x:v>In Progress</x:v>
      </x:c>
    </x:row>
    <x:row r="6">
      <x:c r="A6" s="20" t="str">
        <x:v>60 Days</x:v>
      </x:c>
      <x:c r="B6" s="20" t="str">
        <x:v>Near Term</x:v>
      </x:c>
      <x:c r="C6" s="20" t="str">
        <x:v>Build SIEM log source coverage matrix</x:v>
      </x:c>
      <x:c r="D6" s="20" t="str">
        <x:v>Detect</x:v>
      </x:c>
      <x:c r="E6" s="20" t="str">
        <x:v>High</x:v>
      </x:c>
      <x:c r="F6" s="20" t="str">
        <x:v>SOC Manager</x:v>
      </x:c>
      <x:c r="G6" s="20" t="str">
        <x:v>Coverage matrix lists all critical sources and gaps</x:v>
      </x:c>
      <x:c r="H6" s="20" t="str">
        <x:v>SIEM admin access</x:v>
      </x:c>
      <x:c r="I6" s="20" t="str">
        <x:v>In Progress</x:v>
      </x:c>
    </x:row>
    <x:row r="7">
      <x:c r="A7" s="20" t="str">
        <x:v>60 Days</x:v>
      </x:c>
      <x:c r="B7" s="20" t="str">
        <x:v>Near Term</x:v>
      </x:c>
      <x:c r="C7" s="20" t="str">
        <x:v>Document quarterly restore testing process</x:v>
      </x:c>
      <x:c r="D7" s="20" t="str">
        <x:v>Recover</x:v>
      </x:c>
      <x:c r="E7" s="20" t="str">
        <x:v>High</x:v>
      </x:c>
      <x:c r="F7" s="20" t="str">
        <x:v>Business Continuity Lead</x:v>
      </x:c>
      <x:c r="G7" s="20" t="str">
        <x:v>Restore test evidence retained for critical systems</x:v>
      </x:c>
      <x:c r="H7" s="20" t="str">
        <x:v>Backup admin support</x:v>
      </x:c>
      <x:c r="I7" s="20" t="str">
        <x:v>Not Started</x:v>
      </x:c>
    </x:row>
    <x:row r="8">
      <x:c r="A8" s="20" t="str">
        <x:v>90 Days</x:v>
      </x:c>
      <x:c r="B8" s="20" t="str">
        <x:v>Medium Term</x:v>
      </x:c>
      <x:c r="C8" s="20" t="str">
        <x:v>Deploy vendor risk tiering and reassessment workflow</x:v>
      </x:c>
      <x:c r="D8" s="20" t="str">
        <x:v>Govern</x:v>
      </x:c>
      <x:c r="E8" s="20" t="str">
        <x:v>High</x:v>
      </x:c>
      <x:c r="F8" s="20" t="str">
        <x:v>Vendor Manager</x:v>
      </x:c>
      <x:c r="G8" s="20" t="str">
        <x:v>Critical vendors tiered and reviewed annually</x:v>
      </x:c>
      <x:c r="H8" s="20" t="str">
        <x:v>Procurement list</x:v>
      </x:c>
      <x:c r="I8" s="20" t="str">
        <x:v>Not Started</x:v>
      </x:c>
    </x:row>
    <x:row r="9">
      <x:c r="A9" s="20" t="str">
        <x:v>90 Days</x:v>
      </x:c>
      <x:c r="B9" s="20" t="str">
        <x:v>Medium Term</x:v>
      </x:c>
      <x:c r="C9" s="20" t="str">
        <x:v>Standardize incident playbooks and evidence handling</x:v>
      </x:c>
      <x:c r="D9" s="20" t="str">
        <x:v>Respond</x:v>
      </x:c>
      <x:c r="E9" s="20" t="str">
        <x:v>Medium</x:v>
      </x:c>
      <x:c r="F9" s="20" t="str">
        <x:v>SOC Manager</x:v>
      </x:c>
      <x:c r="G9" s="20" t="str">
        <x:v>Top incident playbooks approved and evidence guidance published</x:v>
      </x:c>
      <x:c r="H9" s="20" t="str">
        <x:v>SOC input</x:v>
      </x:c>
      <x:c r="I9" s="20" t="str">
        <x:v>Not Started</x:v>
      </x:c>
    </x:row>
    <x:row r="10">
      <x:c r="A10" s="20" t="str">
        <x:v>90 Days</x:v>
      </x:c>
      <x:c r="B10" s="20" t="str">
        <x:v>Medium Term</x:v>
      </x:c>
      <x:c r="C10" s="20" t="str">
        <x:v>Create recovery communication templates</x:v>
      </x:c>
      <x:c r="D10" s="20" t="str">
        <x:v>Recover</x:v>
      </x:c>
      <x:c r="E10" s="20" t="str">
        <x:v>Medium</x:v>
      </x:c>
      <x:c r="F10" s="20" t="str">
        <x:v>Legal / Privacy</x:v>
      </x:c>
      <x:c r="G10" s="20" t="str">
        <x:v>Templates approved and tested during exercise</x:v>
      </x:c>
      <x:c r="H10" s="20" t="str">
        <x:v>Legal/privacy review</x:v>
      </x:c>
      <x:c r="I10" s="20" t="str">
        <x:v>Not Started</x:v>
      </x:c>
    </x:row>
    <x:row r="11">
      <x:c r="A11" s="20" t="str">
        <x:v>180 Days</x:v>
      </x:c>
      <x:c r="B11" s="20" t="str">
        <x:v>Long Term</x:v>
      </x:c>
      <x:c r="C11" s="20" t="str">
        <x:v>Automate GRC remediation dashboard from Jira / ticketing</x:v>
      </x:c>
      <x:c r="D11" s="20" t="str">
        <x:v>Identify</x:v>
      </x:c>
      <x:c r="E11" s="20" t="str">
        <x:v>Medium</x:v>
      </x:c>
      <x:c r="F11" s="20" t="str">
        <x:v>GRC dashboard shows owner, due date, risk rating, and status</x:v>
      </x:c>
      <x:c r="G11" s="20" t="str">
        <x:v>Jira fields</x:v>
      </x:c>
      <x:c r="H11" s="20" t="str">
        <x:v>Not Started</x:v>
      </x:c>
      <x:c r="I11" s="20"/>
    </x:row>
    <x:row r="12">
      <x:c r="A12" s="20" t="str">
        <x:v>180 Days</x:v>
      </x:c>
      <x:c r="B12" s="20" t="str">
        <x:v>Long Term</x:v>
      </x:c>
      <x:c r="C12" s="20" t="str">
        <x:v>Expand log correlation across identity, DNS, endpoint, and cloud</x:v>
      </x:c>
      <x:c r="D12" s="20" t="str">
        <x:v>Detect</x:v>
      </x:c>
      <x:c r="E12" s="20" t="str">
        <x:v>High</x:v>
      </x:c>
      <x:c r="F12" s="20" t="str">
        <x:v>Correlation use cases deployed and tested</x:v>
      </x:c>
      <x:c r="G12" s="20" t="str">
        <x:v>Log onboarding complete</x:v>
      </x:c>
      <x:c r="H12" s="20" t="str">
        <x:v>Not Started</x:v>
      </x:c>
      <x:c r="I12" s="20"/>
    </x:row>
  </x:sheetData>
  <x:dataValidations count="2">
    <x:dataValidation type="list" sqref="I2:I12">
      <x:formula1>"Not Started,In Progress,Blocked,Complete"</x:formula1>
    </x:dataValidation>
    <x:dataValidation type="list" sqref="F2:F12">
      <x:formula1>"CISO,GRC Manager,Security Engineering,IT Operations,SOC Manager,Vendor Manager,Business Continuity Lead,HR / Training,Legal / Privacy"</x:formula1>
    </x:dataValidation>
  </x:dataValidations>
  <x:pageMargins left="0.7" right="0.7" top="0.75" bottom="0.75" header="0.3" footer="0.3"/>
  <x:tableParts count="1">
    <x:tablePart xmlns:r="http://schemas.openxmlformats.org/officeDocument/2006/relationships" r:id="Rfa2dfdd528724cbb"/>
  </x:tableParts>
</x:worksheet>
</file>

<file path=xl/worksheets/sheet5.xml><?xml version="1.0" encoding="utf-8"?>
<x:worksheet xmlns:x="http://schemas.openxmlformats.org/spreadsheetml/2006/main">
  <x:sheetFormatPr defaultRowHeight="15"/>
  <x:cols>
    <x:col min="1" max="1" width="12" hidden="0" customWidth="1"/>
    <x:col min="2" max="2" width="40" hidden="0" customWidth="1"/>
    <x:col min="3" max="3" width="16" hidden="0" customWidth="1"/>
    <x:col min="4" max="4" width="22" hidden="0" customWidth="1"/>
    <x:col min="5" max="5" width="18" hidden="0" customWidth="1"/>
    <x:col min="6" max="6" width="14" hidden="0" customWidth="1"/>
    <x:col min="7" max="7" width="22" hidden="0" customWidth="1"/>
    <x:col min="8" max="8" width="12" hidden="0" customWidth="1"/>
    <x:col min="9" max="9" width="24" hidden="0" customWidth="1"/>
    <x:col min="10" max="10" width="38" hidden="0" customWidth="1"/>
  </x:cols>
  <x:sheetData>
    <x:row r="1">
      <x:c r="A1" s="48" t="str">
        <x:v>Evidence ID</x:v>
      </x:c>
      <x:c r="B1" s="48" t="str">
        <x:v>Evidence Artifact</x:v>
      </x:c>
      <x:c r="C1" s="48" t="str">
        <x:v>Mapped CSF Function</x:v>
      </x:c>
      <x:c r="D1" s="48" t="str">
        <x:v>Control Area</x:v>
      </x:c>
      <x:c r="E1" s="48" t="str">
        <x:v>Evidence Type</x:v>
      </x:c>
      <x:c r="F1" s="48" t="str">
        <x:v>Frequency</x:v>
      </x:c>
      <x:c r="G1" s="48" t="str">
        <x:v>Owner</x:v>
      </x:c>
      <x:c r="H1" s="48" t="str">
        <x:v>Status</x:v>
      </x:c>
      <x:c r="I1" s="48" t="str">
        <x:v>Storage Location</x:v>
      </x:c>
      <x:c r="J1" s="48" t="str">
        <x:v>Notes</x:v>
      </x:c>
      <x:c r="K1" s="45"/>
      <x:c r="L1" s="45"/>
      <x:c r="M1" s="45"/>
      <x:c r="N1" s="45"/>
      <x:c r="O1" s="45"/>
      <x:c r="P1" s="45"/>
      <x:c r="Q1" s="45"/>
      <x:c r="R1" s="45"/>
      <x:c r="S1" s="45"/>
      <x:c r="T1" s="45"/>
      <x:c r="U1" s="45"/>
      <x:c r="V1" s="45"/>
      <x:c r="W1" s="45"/>
      <x:c r="X1" s="45"/>
      <x:c r="Y1" s="45"/>
      <x:c r="Z1" s="45"/>
    </x:row>
    <x:row r="2">
      <x:c r="A2" s="20" t="str">
        <x:v>E-001</x:v>
      </x:c>
      <x:c r="B2" s="20" t="str">
        <x:v>Approved cybersecurity policy set</x:v>
      </x:c>
      <x:c r="C2" s="20" t="str">
        <x:v>Govern</x:v>
      </x:c>
      <x:c r="D2" s="20" t="str">
        <x:v>Policy</x:v>
      </x:c>
      <x:c r="E2" s="20" t="str">
        <x:v>Policy</x:v>
      </x:c>
      <x:c r="F2" s="20" t="str">
        <x:v>Annual</x:v>
      </x:c>
      <x:c r="G2" s="20" t="str">
        <x:v>GRC Manager</x:v>
      </x:c>
      <x:c r="H2" s="20" t="str">
        <x:v>Partial</x:v>
      </x:c>
      <x:c r="I2" s="20" t="str">
        <x:v>Policy repository</x:v>
      </x:c>
      <x:c r="J2" s="20" t="str">
        <x:v>Policy review schedule needed.</x:v>
      </x:c>
    </x:row>
    <x:row r="3">
      <x:c r="A3" s="20" t="str">
        <x:v>E-002</x:v>
      </x:c>
      <x:c r="B3" s="20" t="str">
        <x:v>Risk register and risk scoring methodology</x:v>
      </x:c>
      <x:c r="C3" s="20" t="str">
        <x:v>Govern</x:v>
      </x:c>
      <x:c r="D3" s="20" t="str">
        <x:v>Risk management</x:v>
      </x:c>
      <x:c r="E3" s="20" t="str">
        <x:v>GRC artifact</x:v>
      </x:c>
      <x:c r="F3" s="20" t="str">
        <x:v>Quarterly</x:v>
      </x:c>
      <x:c r="G3" s="20" t="str">
        <x:v>GRC Manager</x:v>
      </x:c>
      <x:c r="H3" s="20" t="str">
        <x:v>Partial</x:v>
      </x:c>
      <x:c r="I3" s="20" t="str">
        <x:v>GRC workspace</x:v>
      </x:c>
      <x:c r="J3" s="20" t="str">
        <x:v>Methodology not formally approved.</x:v>
      </x:c>
    </x:row>
    <x:row r="4">
      <x:c r="A4" s="20" t="str">
        <x:v>E-003</x:v>
      </x:c>
      <x:c r="B4" s="20" t="str">
        <x:v>Vendor inventory and security questionnaires</x:v>
      </x:c>
      <x:c r="C4" s="20" t="str">
        <x:v>Govern</x:v>
      </x:c>
      <x:c r="D4" s="20" t="str">
        <x:v>Supply chain risk</x:v>
      </x:c>
      <x:c r="E4" s="20" t="str">
        <x:v>Vendor evidence</x:v>
      </x:c>
      <x:c r="F4" s="20" t="str">
        <x:v>Annual</x:v>
      </x:c>
      <x:c r="G4" s="20" t="str">
        <x:v>Vendor Manager</x:v>
      </x:c>
      <x:c r="H4" s="20" t="str">
        <x:v>Partial</x:v>
      </x:c>
      <x:c r="I4" s="20" t="str">
        <x:v>Procurement folder</x:v>
      </x:c>
      <x:c r="J4" s="20" t="str">
        <x:v>Critical vendor tiering needed.</x:v>
      </x:c>
    </x:row>
    <x:row r="5">
      <x:c r="A5" s="20" t="str">
        <x:v>E-004</x:v>
      </x:c>
      <x:c r="B5" s="20" t="str">
        <x:v>Asset inventory with owner tags</x:v>
      </x:c>
      <x:c r="C5" s="20" t="str">
        <x:v>Identify</x:v>
      </x:c>
      <x:c r="D5" s="20" t="str">
        <x:v>Asset management</x:v>
      </x:c>
      <x:c r="E5" s="20" t="str">
        <x:v>System export</x:v>
      </x:c>
      <x:c r="F5" s="20" t="str">
        <x:v>Monthly</x:v>
      </x:c>
      <x:c r="G5" s="20" t="str">
        <x:v>IT Operations</x:v>
      </x:c>
      <x:c r="H5" s="20" t="str">
        <x:v>Partial</x:v>
      </x:c>
      <x:c r="I5" s="20" t="str">
        <x:v>CMDB / cloud console</x:v>
      </x:c>
      <x:c r="J5" s="20" t="str">
        <x:v>Cloud ownership gaps exist.</x:v>
      </x:c>
    </x:row>
    <x:row r="6">
      <x:c r="A6" s="20" t="str">
        <x:v>E-005</x:v>
      </x:c>
      <x:c r="B6" s="20" t="str">
        <x:v>Vulnerability scan reports and SLA tracker</x:v>
      </x:c>
      <x:c r="C6" s="20" t="str">
        <x:v>Identify</x:v>
      </x:c>
      <x:c r="D6" s="20" t="str">
        <x:v>Vulnerability management</x:v>
      </x:c>
      <x:c r="E6" s="20" t="str">
        <x:v>System export</x:v>
      </x:c>
      <x:c r="F6" s="20" t="str">
        <x:v>Monthly</x:v>
      </x:c>
      <x:c r="G6" s="20" t="str">
        <x:v>Security Engineering</x:v>
      </x:c>
      <x:c r="H6" s="20" t="str">
        <x:v>Available</x:v>
      </x:c>
      <x:c r="I6" s="20" t="str">
        <x:v>Scanner console</x:v>
      </x:c>
      <x:c r="J6" s="20" t="str">
        <x:v>Exception process needs cleanup.</x:v>
      </x:c>
    </x:row>
    <x:row r="7">
      <x:c r="A7" s="20" t="str">
        <x:v>E-006</x:v>
      </x:c>
      <x:c r="B7" s="20" t="str">
        <x:v>Privileged access review evidence</x:v>
      </x:c>
      <x:c r="C7" s="20" t="str">
        <x:v>Protect</x:v>
      </x:c>
      <x:c r="D7" s="20" t="str">
        <x:v>Access control</x:v>
      </x:c>
      <x:c r="E7" s="20" t="str">
        <x:v>Review evidence</x:v>
      </x:c>
      <x:c r="F7" s="20" t="str">
        <x:v>Quarterly</x:v>
      </x:c>
      <x:c r="G7" s="20" t="str">
        <x:v>IT Operations</x:v>
      </x:c>
      <x:c r="H7" s="20" t="str">
        <x:v>Missing</x:v>
      </x:c>
      <x:c r="I7" s="20" t="str">
        <x:v>IAM folder</x:v>
      </x:c>
      <x:c r="J7" s="20" t="str">
        <x:v>Critical gap.</x:v>
      </x:c>
    </x:row>
    <x:row r="8">
      <x:c r="A8" s="20" t="str">
        <x:v>E-007</x:v>
      </x:c>
      <x:c r="B8" s="20" t="str">
        <x:v>Security awareness completion report</x:v>
      </x:c>
      <x:c r="C8" s="20" t="str">
        <x:v>Protect</x:v>
      </x:c>
      <x:c r="D8" s="20" t="str">
        <x:v>Training</x:v>
      </x:c>
      <x:c r="E8" s="20" t="str">
        <x:v>Report</x:v>
      </x:c>
      <x:c r="F8" s="20" t="str">
        <x:v>Annual</x:v>
      </x:c>
      <x:c r="G8" s="20" t="str">
        <x:v>HR / Training</x:v>
      </x:c>
      <x:c r="H8" s="20" t="str">
        <x:v>Available</x:v>
      </x:c>
      <x:c r="I8" s="20" t="str">
        <x:v>Training platform</x:v>
      </x:c>
      <x:c r="J8" s="20" t="str">
        <x:v>Escalation process needed.</x:v>
      </x:c>
    </x:row>
    <x:row r="9">
      <x:c r="A9" s="20" t="str">
        <x:v>E-008</x:v>
      </x:c>
      <x:c r="B9" s="20" t="str">
        <x:v>Cloud configuration benchmark reports</x:v>
      </x:c>
      <x:c r="C9" s="20" t="str">
        <x:v>Protect</x:v>
      </x:c>
      <x:c r="D9" s="20" t="str">
        <x:v>Secure configuration</x:v>
      </x:c>
      <x:c r="E9" s="20" t="str">
        <x:v>System export</x:v>
      </x:c>
      <x:c r="F9" s="20" t="str">
        <x:v>Monthly</x:v>
      </x:c>
      <x:c r="G9" s="20" t="str">
        <x:v>Security Engineering</x:v>
      </x:c>
      <x:c r="H9" s="20" t="str">
        <x:v>Partial</x:v>
      </x:c>
      <x:c r="I9" s="20" t="str">
        <x:v>CSPM tool</x:v>
      </x:c>
      <x:c r="J9" s="20" t="str">
        <x:v>Monthly evidence package needed.</x:v>
      </x:c>
    </x:row>
    <x:row r="10">
      <x:c r="A10" s="20" t="str">
        <x:v>E-009</x:v>
      </x:c>
      <x:c r="B10" s="20" t="str">
        <x:v>SIEM log source coverage matrix</x:v>
      </x:c>
      <x:c r="C10" s="20" t="str">
        <x:v>Detect</x:v>
      </x:c>
      <x:c r="D10" s="20" t="str">
        <x:v>Monitoring</x:v>
      </x:c>
      <x:c r="E10" s="20" t="str">
        <x:v>Matrix</x:v>
      </x:c>
      <x:c r="F10" s="20" t="str">
        <x:v>Quarterly</x:v>
      </x:c>
      <x:c r="G10" s="20" t="str">
        <x:v>SOC Manager</x:v>
      </x:c>
      <x:c r="H10" s="20" t="str">
        <x:v>Missing</x:v>
      </x:c>
      <x:c r="I10" s="20" t="str">
        <x:v>SIEM workspace</x:v>
      </x:c>
      <x:c r="J10" s="20" t="str">
        <x:v>Build coverage map.</x:v>
      </x:c>
    </x:row>
    <x:row r="11">
      <x:c r="A11" s="20" t="str">
        <x:v>E-010</x:v>
      </x:c>
      <x:c r="B11" s="20" t="str">
        <x:v>SOC runbooks and alert triage standards</x:v>
      </x:c>
      <x:c r="C11" s="20" t="str">
        <x:v>Detect</x:v>
      </x:c>
      <x:c r="D11" s="20" t="str">
        <x:v>Alert analysis</x:v>
      </x:c>
      <x:c r="E11" s="20" t="str">
        <x:v>Procedure</x:v>
      </x:c>
      <x:c r="F11" s="20" t="str">
        <x:v>Annual</x:v>
      </x:c>
      <x:c r="G11" s="20" t="str">
        <x:v>SOC Manager</x:v>
      </x:c>
      <x:c r="H11" s="20" t="str">
        <x:v>Partial</x:v>
      </x:c>
      <x:c r="I11" s="20" t="str">
        <x:v>SOC wiki</x:v>
      </x:c>
      <x:c r="J11" s="20" t="str">
        <x:v>Severity criteria inconsistent.</x:v>
      </x:c>
    </x:row>
    <x:row r="12">
      <x:c r="A12" s="20" t="str">
        <x:v>E-011</x:v>
      </x:c>
      <x:c r="B12" s="20" t="str">
        <x:v>Incident response plan and tabletop results</x:v>
      </x:c>
      <x:c r="C12" s="20" t="str">
        <x:v>Respond</x:v>
      </x:c>
      <x:c r="D12" s="20" t="str">
        <x:v>IR planning</x:v>
      </x:c>
      <x:c r="E12" s="20" t="str">
        <x:v>Plan / exercise record</x:v>
      </x:c>
      <x:c r="F12" s="20" t="str">
        <x:v>Annual</x:v>
      </x:c>
      <x:c r="G12" s="20" t="str">
        <x:v>CISO</x:v>
      </x:c>
      <x:c r="H12" s="20" t="str">
        <x:v>Partial</x:v>
      </x:c>
      <x:c r="I12" s="20" t="str">
        <x:v>IR folder</x:v>
      </x:c>
      <x:c r="J12" s="20" t="str">
        <x:v>Exercise evidence missing.</x:v>
      </x:c>
    </x:row>
    <x:row r="13">
      <x:c r="A13" s="20" t="str">
        <x:v>E-012</x:v>
      </x:c>
      <x:c r="B13" s="20" t="str">
        <x:v>Chain-of-custody and evidence handling procedure</x:v>
      </x:c>
      <x:c r="C13" s="20" t="str">
        <x:v>Respond</x:v>
      </x:c>
      <x:c r="D13" s="20" t="str">
        <x:v>Forensics</x:v>
      </x:c>
      <x:c r="E13" s="20" t="str">
        <x:v>Procedure</x:v>
      </x:c>
      <x:c r="F13" s="20" t="str">
        <x:v>Annual</x:v>
      </x:c>
      <x:c r="G13" s="20" t="str">
        <x:v>SOC Manager</x:v>
      </x:c>
      <x:c r="H13" s="20" t="str">
        <x:v>Missing</x:v>
      </x:c>
      <x:c r="I13" s="20" t="str">
        <x:v>IR folder</x:v>
      </x:c>
      <x:c r="J13" s="20" t="str">
        <x:v>Needed for investigations.</x:v>
      </x:c>
    </x:row>
    <x:row r="14">
      <x:c r="A14" s="20" t="str">
        <x:v>E-013</x:v>
      </x:c>
      <x:c r="B14" s="20" t="str">
        <x:v>Backup configuration and restore test results</x:v>
      </x:c>
      <x:c r="C14" s="20" t="str">
        <x:v>Recover</x:v>
      </x:c>
      <x:c r="D14" s="20" t="str">
        <x:v>Backup testing</x:v>
      </x:c>
      <x:c r="E14" s="20" t="str">
        <x:v>System export / test record</x:v>
      </x:c>
      <x:c r="F14" s="20" t="str">
        <x:v>Quarterly</x:v>
      </x:c>
      <x:c r="G14" s="20" t="str">
        <x:v>Business Continuity Lead</x:v>
      </x:c>
      <x:c r="H14" s="20" t="str">
        <x:v>Partial</x:v>
      </x:c>
      <x:c r="I14" s="20" t="str">
        <x:v>Backup console</x:v>
      </x:c>
      <x:c r="J14" s="20" t="str">
        <x:v>Restore tests not consistently documented.</x:v>
      </x:c>
    </x:row>
    <x:row r="15">
      <x:c r="A15" s="20" t="str">
        <x:v>E-014</x:v>
      </x:c>
      <x:c r="B15" s="20" t="str">
        <x:v>Business continuity and disaster recovery plan</x:v>
      </x:c>
      <x:c r="C15" s="20" t="str">
        <x:v>Recover</x:v>
      </x:c>
      <x:c r="D15" s="20" t="str">
        <x:v>Recovery planning</x:v>
      </x:c>
      <x:c r="E15" s="20" t="str">
        <x:v>Plan</x:v>
      </x:c>
      <x:c r="F15" s="20" t="str">
        <x:v>Annual</x:v>
      </x:c>
      <x:c r="G15" s="20" t="str">
        <x:v>Business Continuity Lead</x:v>
      </x:c>
      <x:c r="H15" s="20" t="str">
        <x:v>Partial</x:v>
      </x:c>
      <x:c r="I15" s="20" t="str">
        <x:v>BCP repository</x:v>
      </x:c>
      <x:c r="J15" s="20" t="str">
        <x:v>RTO/RPO mappings incomplete.</x:v>
      </x:c>
    </x:row>
  </x:sheetData>
  <x:conditionalFormatting sqref="H2:H15">
    <x:cfRule type="expression" dxfId="4" priority="1">
      <x:formula>H2="Missing"</x:formula>
    </x:cfRule>
    <x:cfRule type="expression" dxfId="5" priority="2">
      <x:formula>H2="Partial"</x:formula>
    </x:cfRule>
    <x:cfRule type="expression" dxfId="6" priority="3">
      <x:formula>H2="Available"</x:formula>
    </x:cfRule>
  </x:conditionalFormatting>
  <x:dataValidations count="2">
    <x:dataValidation type="list" sqref="H2:H15">
      <x:formula1>"Available,Partial,Missing"</x:formula1>
    </x:dataValidation>
    <x:dataValidation type="list" sqref="G2:G15">
      <x:formula1>"CISO,GRC Manager,Security Engineering,IT Operations,SOC Manager,Vendor Manager,Business Continuity Lead,HR / Training,Legal / Privacy"</x:formula1>
    </x:dataValidation>
  </x:dataValidations>
  <x:pageMargins left="0.7" right="0.7" top="0.75" bottom="0.75" header="0.3" footer="0.3"/>
  <x:tableParts count="1">
    <x:tablePart xmlns:r="http://schemas.openxmlformats.org/officeDocument/2006/relationships" r:id="R496acf25baab488e"/>
  </x:tableParts>
</x:worksheet>
</file>

<file path=xl/worksheets/sheet6.xml><?xml version="1.0" encoding="utf-8"?>
<x:worksheet xmlns:x="http://schemas.openxmlformats.org/spreadsheetml/2006/main">
  <x:sheetFormatPr defaultRowHeight="15"/>
  <x:cols>
    <x:col min="1" max="1" width="16" hidden="0" customWidth="1"/>
    <x:col min="2" max="2" width="18" hidden="0" customWidth="1"/>
    <x:col min="3" max="3" width="18" hidden="0" customWidth="1"/>
    <x:col min="4" max="4" width="12" hidden="0" customWidth="1"/>
    <x:col min="5" max="5" width="14" hidden="0" customWidth="1"/>
    <x:col min="6" max="6" width="18" hidden="0" customWidth="1"/>
    <x:col min="7" max="7" width="34" hidden="0" customWidth="1"/>
  </x:cols>
  <x:sheetData>
    <x:row r="1">
      <x:c r="A1" s="48" t="str">
        <x:v>CSF Function</x:v>
      </x:c>
      <x:c r="B1" s="48" t="str">
        <x:v>Avg Current Maturity</x:v>
      </x:c>
      <x:c r="C1" s="48" t="str">
        <x:v>Avg Target Maturity</x:v>
      </x:c>
      <x:c r="D1" s="48" t="str">
        <x:v>Avg Gap</x:v>
      </x:c>
      <x:c r="E1" s="48" t="str">
        <x:v>Avg Risk Score</x:v>
      </x:c>
      <x:c r="F1" s="48" t="str">
        <x:v>Critical/High Findings</x:v>
      </x:c>
      <x:c r="G1" s="48" t="str">
        <x:v>Assessment Comment</x:v>
      </x:c>
      <x:c r="H1" s="45"/>
      <x:c r="I1" s="45"/>
      <x:c r="J1" s="45"/>
      <x:c r="K1" s="45"/>
      <x:c r="L1" s="45"/>
      <x:c r="M1" s="45"/>
      <x:c r="N1" s="45"/>
      <x:c r="O1" s="45"/>
      <x:c r="P1" s="45"/>
      <x:c r="Q1" s="45"/>
      <x:c r="R1" s="45"/>
      <x:c r="S1" s="45"/>
      <x:c r="T1" s="45"/>
      <x:c r="U1" s="45"/>
      <x:c r="V1" s="45"/>
      <x:c r="W1" s="45"/>
      <x:c r="X1" s="45"/>
      <x:c r="Y1" s="45"/>
      <x:c r="Z1" s="45"/>
    </x:row>
    <x:row r="2">
      <x:c r="A2" s="20" t="str">
        <x:v>Govern</x:v>
      </x:c>
      <x:c r="B2" s="34" t="n">
        <x:f>SUMIF('CSF Gap Matrix'!$B:$B,A2,'CSF Gap Matrix'!$F:$F)/COUNTIF('CSF Gap Matrix'!$B:$B,A2)</x:f>
        <x:v>2</x:v>
      </x:c>
      <x:c r="C2" s="34" t="n">
        <x:f>SUMIF('CSF Gap Matrix'!$B:$B,A2,'CSF Gap Matrix'!$G:$G)/COUNTIF('CSF Gap Matrix'!$B:$B,A2)</x:f>
        <x:v>4</x:v>
      </x:c>
      <x:c r="D2" s="34" t="n">
        <x:f>C2-B2</x:f>
        <x:v>2</x:v>
      </x:c>
      <x:c r="E2" s="34" t="n">
        <x:f>SUMIF('CSF Gap Matrix'!$B:$B,A2,'CSF Gap Matrix'!$K:$K)/COUNTIF('CSF Gap Matrix'!$B:$B,A2)</x:f>
        <x:v>15.2</x:v>
      </x:c>
      <x:c r="F2" s="20" t="n">
        <x:f>COUNTIFS('CSF Gap Matrix'!$B:$B,A2,'CSF Gap Matrix'!$L:$L,"Critical")+COUNTIFS('CSF Gap Matrix'!$B:$B,A2,'CSF Gap Matrix'!$L:$L,"High")</x:f>
        <x:v>5</x:v>
      </x:c>
      <x:c r="G2" s="20" t="str">
        <x:f>IF(F2&gt;=3,"Needs urgent leadership attention",IF(D2&gt;=1.5,"Material gap requiring remediation","Moderate gap"))</x:f>
        <x:v>Needs urgent leadership attention</x:v>
      </x:c>
    </x:row>
    <x:row r="3">
      <x:c r="A3" s="20" t="str">
        <x:v>Identify</x:v>
      </x:c>
      <x:c r="B3" s="34" t="n">
        <x:f>SUMIF('CSF Gap Matrix'!$B:$B,A3,'CSF Gap Matrix'!$F:$F)/COUNTIF('CSF Gap Matrix'!$B:$B,A3)</x:f>
        <x:v>2.2</x:v>
      </x:c>
      <x:c r="C3" s="34" t="n">
        <x:f>SUMIF('CSF Gap Matrix'!$B:$B,A3,'CSF Gap Matrix'!$G:$G)/COUNTIF('CSF Gap Matrix'!$B:$B,A3)</x:f>
        <x:v>4</x:v>
      </x:c>
      <x:c r="D3" s="34" t="n">
        <x:f>C3-B3</x:f>
        <x:v>1.7999999999999998</x:v>
      </x:c>
      <x:c r="E3" s="34" t="n">
        <x:f>SUMIF('CSF Gap Matrix'!$B:$B,A3,'CSF Gap Matrix'!$K:$K)/COUNTIF('CSF Gap Matrix'!$B:$B,A3)</x:f>
        <x:v>14.4</x:v>
      </x:c>
      <x:c r="F3" s="20" t="n">
        <x:f>COUNTIFS('CSF Gap Matrix'!$B:$B,A3,'CSF Gap Matrix'!$L:$L,"Critical")+COUNTIFS('CSF Gap Matrix'!$B:$B,A3,'CSF Gap Matrix'!$L:$L,"High")</x:f>
        <x:v>5</x:v>
      </x:c>
      <x:c r="G3" s="20" t="str">
        <x:f>IF(F3&gt;=3,"Needs urgent leadership attention",IF(D3&gt;=1.5,"Material gap requiring remediation","Moderate gap"))</x:f>
        <x:v>Needs urgent leadership attention</x:v>
      </x:c>
    </x:row>
    <x:row r="4">
      <x:c r="A4" s="20" t="str">
        <x:v>Protect</x:v>
      </x:c>
      <x:c r="B4" s="34" t="n">
        <x:f>SUMIF('CSF Gap Matrix'!$B:$B,A4,'CSF Gap Matrix'!$F:$F)/COUNTIF('CSF Gap Matrix'!$B:$B,A4)</x:f>
        <x:v>2.6666666666666665</x:v>
      </x:c>
      <x:c r="C4" s="34" t="n">
        <x:f>SUMIF('CSF Gap Matrix'!$B:$B,A4,'CSF Gap Matrix'!$G:$G)/COUNTIF('CSF Gap Matrix'!$B:$B,A4)</x:f>
        <x:v>4</x:v>
      </x:c>
      <x:c r="D4" s="34" t="n">
        <x:f>C4-B4</x:f>
        <x:v>1.3333333333333335</x:v>
      </x:c>
      <x:c r="E4" s="34" t="n">
        <x:f>SUMIF('CSF Gap Matrix'!$B:$B,A4,'CSF Gap Matrix'!$K:$K)/COUNTIF('CSF Gap Matrix'!$B:$B,A4)</x:f>
        <x:v>14.833333333333334</x:v>
      </x:c>
      <x:c r="F4" s="20" t="n">
        <x:f>COUNTIFS('CSF Gap Matrix'!$B:$B,A4,'CSF Gap Matrix'!$L:$L,"Critical")+COUNTIFS('CSF Gap Matrix'!$B:$B,A4,'CSF Gap Matrix'!$L:$L,"High")</x:f>
        <x:v>5</x:v>
      </x:c>
      <x:c r="G4" s="20" t="str">
        <x:f>IF(F4&gt;=3,"Needs urgent leadership attention",IF(D4&gt;=1.5,"Material gap requiring remediation","Moderate gap"))</x:f>
        <x:v>Needs urgent leadership attention</x:v>
      </x:c>
    </x:row>
    <x:row r="5">
      <x:c r="A5" s="20" t="str">
        <x:v>Detect</x:v>
      </x:c>
      <x:c r="B5" s="34" t="n">
        <x:f>SUMIF('CSF Gap Matrix'!$B:$B,A5,'CSF Gap Matrix'!$F:$F)/COUNTIF('CSF Gap Matrix'!$B:$B,A5)</x:f>
        <x:v>2.5</x:v>
      </x:c>
      <x:c r="C5" s="34" t="n">
        <x:f>SUMIF('CSF Gap Matrix'!$B:$B,A5,'CSF Gap Matrix'!$G:$G)/COUNTIF('CSF Gap Matrix'!$B:$B,A5)</x:f>
        <x:v>4</x:v>
      </x:c>
      <x:c r="D5" s="34" t="n">
        <x:f>C5-B5</x:f>
        <x:v>1.5</x:v>
      </x:c>
      <x:c r="E5" s="34" t="n">
        <x:f>SUMIF('CSF Gap Matrix'!$B:$B,A5,'CSF Gap Matrix'!$K:$K)/COUNTIF('CSF Gap Matrix'!$B:$B,A5)</x:f>
        <x:v>15</x:v>
      </x:c>
      <x:c r="F5" s="20" t="n">
        <x:f>COUNTIFS('CSF Gap Matrix'!$B:$B,A5,'CSF Gap Matrix'!$L:$L,"Critical")+COUNTIFS('CSF Gap Matrix'!$B:$B,A5,'CSF Gap Matrix'!$L:$L,"High")</x:f>
        <x:v>4</x:v>
      </x:c>
      <x:c r="G5" s="20" t="str">
        <x:f>IF(F5&gt;=3,"Needs urgent leadership attention",IF(D5&gt;=1.5,"Material gap requiring remediation","Moderate gap"))</x:f>
        <x:v>Needs urgent leadership attention</x:v>
      </x:c>
    </x:row>
    <x:row r="6">
      <x:c r="A6" s="20" t="str">
        <x:v>Respond</x:v>
      </x:c>
      <x:c r="B6" s="34" t="n">
        <x:f>SUMIF('CSF Gap Matrix'!$B:$B,A6,'CSF Gap Matrix'!$F:$F)/COUNTIF('CSF Gap Matrix'!$B:$B,A6)</x:f>
        <x:v>2.25</x:v>
      </x:c>
      <x:c r="C6" s="34" t="n">
        <x:f>SUMIF('CSF Gap Matrix'!$B:$B,A6,'CSF Gap Matrix'!$G:$G)/COUNTIF('CSF Gap Matrix'!$B:$B,A6)</x:f>
        <x:v>4</x:v>
      </x:c>
      <x:c r="D6" s="34" t="n">
        <x:f>C6-B6</x:f>
        <x:v>1.75</x:v>
      </x:c>
      <x:c r="E6" s="34" t="n">
        <x:f>SUMIF('CSF Gap Matrix'!$B:$B,A6,'CSF Gap Matrix'!$K:$K)/COUNTIF('CSF Gap Matrix'!$B:$B,A6)</x:f>
        <x:v>14</x:v>
      </x:c>
      <x:c r="F6" s="20" t="n">
        <x:f>COUNTIFS('CSF Gap Matrix'!$B:$B,A6,'CSF Gap Matrix'!$L:$L,"Critical")+COUNTIFS('CSF Gap Matrix'!$B:$B,A6,'CSF Gap Matrix'!$L:$L,"High")</x:f>
        <x:v>4</x:v>
      </x:c>
      <x:c r="G6" s="20" t="str">
        <x:f>IF(F6&gt;=3,"Needs urgent leadership attention",IF(D6&gt;=1.5,"Material gap requiring remediation","Moderate gap"))</x:f>
        <x:v>Needs urgent leadership attention</x:v>
      </x:c>
    </x:row>
    <x:row r="7">
      <x:c r="A7" s="20" t="str">
        <x:v>Recover</x:v>
      </x:c>
      <x:c r="B7" s="34" t="n">
        <x:f>SUMIF('CSF Gap Matrix'!$B:$B,A7,'CSF Gap Matrix'!$F:$F)/COUNTIF('CSF Gap Matrix'!$B:$B,A7)</x:f>
        <x:v>2</x:v>
      </x:c>
      <x:c r="C7" s="34" t="n">
        <x:f>SUMIF('CSF Gap Matrix'!$B:$B,A7,'CSF Gap Matrix'!$G:$G)/COUNTIF('CSF Gap Matrix'!$B:$B,A7)</x:f>
        <x:v>4</x:v>
      </x:c>
      <x:c r="D7" s="34" t="n">
        <x:f>C7-B7</x:f>
        <x:v>2</x:v>
      </x:c>
      <x:c r="E7" s="34" t="n">
        <x:f>SUMIF('CSF Gap Matrix'!$B:$B,A7,'CSF Gap Matrix'!$K:$K)/COUNTIF('CSF Gap Matrix'!$B:$B,A7)</x:f>
        <x:v>13.666666666666666</x:v>
      </x:c>
      <x:c r="F7" s="20" t="n">
        <x:f>COUNTIFS('CSF Gap Matrix'!$B:$B,A7,'CSF Gap Matrix'!$L:$L,"Critical")+COUNTIFS('CSF Gap Matrix'!$B:$B,A7,'CSF Gap Matrix'!$L:$L,"High")</x:f>
        <x:v>2</x:v>
      </x:c>
      <x:c r="G7" s="20" t="str">
        <x:f>IF(F7&gt;=3,"Needs urgent leadership attention",IF(D7&gt;=1.5,"Material gap requiring remediation","Moderate gap"))</x:f>
        <x:v>Material gap requiring remediation</x:v>
      </x:c>
    </x:row>
  </x:sheetData>
  <x:conditionalFormatting sqref="D2:D7">
    <x:cfRule type="dataBar" priority="1">
      <x:dataBar>
        <x:cfvo type="min"/>
        <x:cfvo type="max"/>
        <x:color rgb="FFF59E0B"/>
      </x:dataBar>
      <x:extLst>
        <x:ext xmlns:x14="http://schemas.microsoft.com/office/spreadsheetml/2009/9/main" uri="{B025F937-C7B1-47D3-B67F-A62EFF666E3E}">
          <x14:id>{AF016640-6D57-29C4-A0C8-81E48BDAC3B8}</x14:id>
        </x:ext>
      </x:extLst>
    </x:cfRule>
  </x:conditionalFormatting>
  <x:conditionalFormatting sqref="E2:E7">
    <x:cfRule type="dataBar" priority="2">
      <x:dataBar>
        <x:cfvo type="min"/>
        <x:cfvo type="max"/>
        <x:color rgb="FFDC2626"/>
      </x:dataBar>
      <x:extLst>
        <x:ext xmlns:x14="http://schemas.microsoft.com/office/spreadsheetml/2009/9/main" uri="{B025F937-C7B1-47D3-B67F-A62EFF666E3E}">
          <x14:id>{EC59E314-4923-2E87-3BAB-B4FCC054C7E0}</x14:id>
        </x:ext>
      </x:extLst>
    </x:cfRule>
  </x:conditionalFormatting>
  <x:pageMargins left="0.7" right="0.7" top="0.75" bottom="0.75" header="0.3" footer="0.3"/>
  <x:drawing xmlns:r="http://schemas.openxmlformats.org/officeDocument/2006/relationships" r:id="R5a2fecaffd8441e4"/>
  <x:tableParts count="1">
    <x:tablePart xmlns:r="http://schemas.openxmlformats.org/officeDocument/2006/relationships" r:id="R008d0df2a8774606"/>
  </x:tableParts>
  <x:extLst>
    <x:ext xmlns:x14="http://schemas.microsoft.com/office/spreadsheetml/2009/9/main" xmlns:xm="http://schemas.microsoft.com/office/excel/2006/main" uri="{78C0D931-6437-407d-A8EE-F0AAD7539E65}">
      <x14:conditionalFormattings>
        <x14:conditionalFormatting>
          <x14:cfRule type="dataBar" priority="1" id="{AF016640-6D57-29C4-A0C8-81E48BDAC3B8}">
            <x14:dataBar gradient="1">
              <x14:cfvo type="min"/>
              <x14:cfvo type="max"/>
              <x14:fillColor rgb="FFF59E0B"/>
            </x14:dataBar>
          </x14:cfRule>
          <xm:sqref>D2:D7</xm:sqref>
        </x14:conditionalFormatting>
        <x14:conditionalFormatting>
          <x14:cfRule type="dataBar" priority="2" id="{EC59E314-4923-2E87-3BAB-B4FCC054C7E0}">
            <x14:dataBar gradient="1">
              <x14:cfvo type="min"/>
              <x14:cfvo type="max"/>
              <x14:fillColor rgb="FFDC2626"/>
            </x14:dataBar>
          </x14:cfRule>
          <xm:sqref>E2:E7</xm:sqref>
        </x14:conditionalFormatting>
      </x14:conditionalFormattings>
    </x:ext>
  </x:extLst>
</x:worksheet>
</file>

<file path=xl/worksheets/sheet7.xml><?xml version="1.0" encoding="utf-8"?>
<x:worksheet xmlns:x="http://schemas.openxmlformats.org/spreadsheetml/2006/main">
  <x:sheetFormatPr defaultRowHeight="15"/>
  <x:cols>
    <x:col min="1" max="1" width="26" hidden="0" customWidth="1"/>
    <x:col min="2" max="2" width="18" hidden="0" customWidth="1"/>
    <x:col min="4" max="4" width="45" hidden="0" customWidth="1"/>
    <x:col min="5" max="5" width="14" hidden="0" customWidth="1"/>
    <x:col min="6" max="6" width="10" hidden="0" customWidth="1"/>
    <x:col min="7" max="7" width="12" hidden="0" customWidth="1"/>
    <x:col min="8" max="8" width="22" hidden="0" customWidth="1"/>
    <x:col min="9" max="9" width="50" hidden="0" customWidth="1"/>
  </x:cols>
  <x:sheetData>
    <x:row r="1">
      <x:c r="A1" s="44" t="str">
        <x:v>Executive Dashboard - NIST CSF 2.0 Gap Assessment</x:v>
      </x:c>
      <x:c r="B1" s="45"/>
      <x:c r="C1" s="45"/>
      <x:c r="D1" s="45"/>
      <x:c r="E1" s="45"/>
      <x:c r="F1" s="45"/>
      <x:c r="G1" s="45"/>
      <x:c r="H1" s="45"/>
      <x:c r="I1" s="45"/>
      <x:c r="J1" s="45"/>
      <x:c r="K1" s="45"/>
      <x:c r="L1" s="45"/>
      <x:c r="M1" s="45"/>
      <x:c r="N1" s="45"/>
      <x:c r="O1" s="45"/>
      <x:c r="P1" s="45"/>
      <x:c r="Q1" s="45"/>
      <x:c r="R1" s="45"/>
      <x:c r="S1" s="45"/>
      <x:c r="T1" s="45"/>
      <x:c r="U1" s="45"/>
      <x:c r="V1" s="45"/>
      <x:c r="W1" s="45"/>
      <x:c r="X1" s="45"/>
      <x:c r="Y1" s="45"/>
      <x:c r="Z1" s="45"/>
    </x:row>
    <x:row r="3">
      <x:c r="A3" s="14" t="str">
        <x:v>Overall Current Maturity</x:v>
      </x:c>
      <x:c r="B3" s="42" t="n">
        <x:f>AVERAGE('CSF Gap Matrix'!F2:F28)</x:f>
        <x:v>2.2962962962962963</x:v>
      </x:c>
      <x:c r="D3" s="25" t="str">
        <x:v>Top Finding</x:v>
      </x:c>
      <x:c r="E3" s="25" t="str">
        <x:v>CSF Function</x:v>
      </x:c>
      <x:c r="F3" s="25" t="str">
        <x:v>Risk Score</x:v>
      </x:c>
      <x:c r="G3" s="25" t="str">
        <x:v>Priority</x:v>
      </x:c>
      <x:c r="H3" s="25" t="str">
        <x:v>Owner</x:v>
      </x:c>
      <x:c r="I3" s="25" t="str">
        <x:v>Remediation</x:v>
      </x:c>
    </x:row>
    <x:row r="4">
      <x:c r="A4" s="14" t="str">
        <x:v>Overall Target Maturity</x:v>
      </x:c>
      <x:c r="B4" s="42" t="n">
        <x:f>AVERAGE('CSF Gap Matrix'!G2:G28)</x:f>
        <x:v>4</x:v>
      </x:c>
      <x:c r="D4" s="20" t="str">
        <x:v>Risk management strategy is established, communicated, and monitored.</x:v>
      </x:c>
      <x:c r="E4" s="20" t="str">
        <x:v>Govern</x:v>
      </x:c>
      <x:c r="F4" s="20" t="n">
        <x:v>20</x:v>
      </x:c>
      <x:c r="G4" s="20" t="str">
        <x:v>Critical</x:v>
      </x:c>
      <x:c r="H4" s="20" t="str">
        <x:v>GRC Manager</x:v>
      </x:c>
      <x:c r="I4" s="20" t="str">
        <x:v>Approve standardized risk methodology and quarterly risk review process.</x:v>
      </x:c>
    </x:row>
    <x:row r="5">
      <x:c r="A5" s="14" t="str">
        <x:v>Total Open Findings</x:v>
      </x:c>
      <x:c r="B5" s="38" t="n">
        <x:f>COUNTIF('CSF Gap Matrix'!Q2:Q28,"&lt;&gt;Complete")</x:f>
        <x:v>27</x:v>
      </x:c>
      <x:c r="D5" s="20" t="str">
        <x:v>Third-party cybersecurity risks are identified and managed.</x:v>
      </x:c>
      <x:c r="E5" s="20" t="str">
        <x:v>Govern</x:v>
      </x:c>
      <x:c r="F5" s="20" t="n">
        <x:v>20</x:v>
      </x:c>
      <x:c r="G5" s="20" t="str">
        <x:v>Critical</x:v>
      </x:c>
      <x:c r="H5" s="20" t="str">
        <x:v>Vendor Manager</x:v>
      </x:c>
      <x:c r="I5" s="20" t="str">
        <x:v>Implement vendor risk tiering, security reviews, and annual reassessments.</x:v>
      </x:c>
    </x:row>
    <x:row r="6">
      <x:c r="A6" s="14" t="str">
        <x:v>Critical Findings</x:v>
      </x:c>
      <x:c r="B6" s="38" t="n">
        <x:f>COUNTIF('CSF Gap Matrix'!L2:L28,"Critical")</x:f>
        <x:v>7</x:v>
      </x:c>
      <x:c r="D6" s="20" t="str">
        <x:v>Physical and virtual assets are inventoried and owned.</x:v>
      </x:c>
      <x:c r="E6" s="20" t="str">
        <x:v>Identify</x:v>
      </x:c>
      <x:c r="F6" s="20" t="n">
        <x:v>20</x:v>
      </x:c>
      <x:c r="G6" s="20" t="str">
        <x:v>Critical</x:v>
      </x:c>
      <x:c r="H6" s="20" t="str">
        <x:v>IT Operations</x:v>
      </x:c>
      <x:c r="I6" s="20" t="str">
        <x:v>Implement authoritative asset inventory with owner, system criticality, and data classification.</x:v>
      </x:c>
    </x:row>
    <x:row r="7">
      <x:c r="A7" s="14" t="str">
        <x:v>High Findings</x:v>
      </x:c>
      <x:c r="B7" s="38" t="n">
        <x:f>COUNTIF('CSF Gap Matrix'!L2:L28,"High")</x:f>
        <x:v>18</x:v>
      </x:c>
      <x:c r="D7" s="20" t="str">
        <x:v>Access permissions are reviewed and managed.</x:v>
      </x:c>
      <x:c r="E7" s="20" t="str">
        <x:v>Protect</x:v>
      </x:c>
      <x:c r="F7" s="20" t="n">
        <x:v>20</x:v>
      </x:c>
      <x:c r="G7" s="20" t="str">
        <x:v>Critical</x:v>
      </x:c>
      <x:c r="H7" s="20" t="str">
        <x:v>IT Operations</x:v>
      </x:c>
      <x:c r="I7" s="20" t="str">
        <x:v>Create quarterly privileged access review workflow with evidence retention.</x:v>
      </x:c>
    </x:row>
    <x:row r="8">
      <x:c r="A8" s="14" t="str">
        <x:v>Evidence Missing</x:v>
      </x:c>
      <x:c r="B8" s="38" t="n">
        <x:f>COUNTIF('Evidence Inventory'!H2:H15,"Missing")</x:f>
        <x:v>3</x:v>
      </x:c>
      <x:c r="D8" s="20" t="str">
        <x:v>Backups are protected and recoverable.</x:v>
      </x:c>
      <x:c r="E8" s="20" t="str">
        <x:v>Protect</x:v>
      </x:c>
      <x:c r="F8" s="20" t="n">
        <x:v>20</x:v>
      </x:c>
      <x:c r="G8" s="20" t="str">
        <x:v>Critical</x:v>
      </x:c>
      <x:c r="H8" s="20" t="str">
        <x:v>Business Continuity Lead</x:v>
      </x:c>
      <x:c r="I8" s="20" t="str">
        <x:v>Perform and document quarterly backup restoration tests.</x:v>
      </x:c>
    </x:row>
    <x:row r="11">
      <x:c r="A11" s="25" t="str">
        <x:v>Function</x:v>
      </x:c>
      <x:c r="B11" s="25" t="str">
        <x:v>Current</x:v>
      </x:c>
      <x:c r="C11" s="25" t="str">
        <x:v>Target</x:v>
      </x:c>
      <x:c r="D11" s="25" t="str">
        <x:v>Gap</x:v>
      </x:c>
      <x:c r="E11" s="25" t="str">
        <x:v>Avg Risk</x:v>
      </x:c>
      <x:c r="F11" s="25" t="str">
        <x:v>Critical/High</x:v>
      </x:c>
    </x:row>
    <x:row r="12">
      <x:c r="A12" t="str">
        <x:v>Govern</x:v>
      </x:c>
      <x:c r="B12" s="32" t="n">
        <x:f>'Maturity Scoring'!B2</x:f>
        <x:v>2</x:v>
      </x:c>
      <x:c r="C12" s="32" t="n">
        <x:f>'Maturity Scoring'!C2</x:f>
        <x:v>4</x:v>
      </x:c>
      <x:c r="D12" s="32" t="n">
        <x:f>'Maturity Scoring'!D2</x:f>
        <x:v>2</x:v>
      </x:c>
      <x:c r="E12" s="32" t="n">
        <x:f>'Maturity Scoring'!E2</x:f>
        <x:v>15.2</x:v>
      </x:c>
      <x:c r="F12" t="n">
        <x:f>'Maturity Scoring'!F2</x:f>
        <x:v>5</x:v>
      </x:c>
    </x:row>
    <x:row r="13">
      <x:c r="A13" t="str">
        <x:v>Identify</x:v>
      </x:c>
      <x:c r="B13" s="32" t="n">
        <x:f>'Maturity Scoring'!B3</x:f>
        <x:v>2.2</x:v>
      </x:c>
      <x:c r="C13" s="32" t="n">
        <x:f>'Maturity Scoring'!C3</x:f>
        <x:v>4</x:v>
      </x:c>
      <x:c r="D13" s="32" t="n">
        <x:f>'Maturity Scoring'!D3</x:f>
        <x:v>1.7999999999999998</x:v>
      </x:c>
      <x:c r="E13" s="32" t="n">
        <x:f>'Maturity Scoring'!E3</x:f>
        <x:v>14.4</x:v>
      </x:c>
      <x:c r="F13" t="n">
        <x:f>'Maturity Scoring'!F3</x:f>
        <x:v>5</x:v>
      </x:c>
    </x:row>
    <x:row r="14">
      <x:c r="A14" t="str">
        <x:v>Protect</x:v>
      </x:c>
      <x:c r="B14" s="32" t="n">
        <x:f>'Maturity Scoring'!B4</x:f>
        <x:v>2.6666666666666665</x:v>
      </x:c>
      <x:c r="C14" s="32" t="n">
        <x:f>'Maturity Scoring'!C4</x:f>
        <x:v>4</x:v>
      </x:c>
      <x:c r="D14" s="32" t="n">
        <x:f>'Maturity Scoring'!D4</x:f>
        <x:v>1.3333333333333335</x:v>
      </x:c>
      <x:c r="E14" s="32" t="n">
        <x:f>'Maturity Scoring'!E4</x:f>
        <x:v>14.833333333333334</x:v>
      </x:c>
      <x:c r="F14" t="n">
        <x:f>'Maturity Scoring'!F4</x:f>
        <x:v>5</x:v>
      </x:c>
    </x:row>
    <x:row r="15">
      <x:c r="A15" t="str">
        <x:v>Detect</x:v>
      </x:c>
      <x:c r="B15" s="32" t="n">
        <x:f>'Maturity Scoring'!B5</x:f>
        <x:v>2.5</x:v>
      </x:c>
      <x:c r="C15" s="32" t="n">
        <x:f>'Maturity Scoring'!C5</x:f>
        <x:v>4</x:v>
      </x:c>
      <x:c r="D15" s="32" t="n">
        <x:f>'Maturity Scoring'!D5</x:f>
        <x:v>1.5</x:v>
      </x:c>
      <x:c r="E15" s="32" t="n">
        <x:f>'Maturity Scoring'!E5</x:f>
        <x:v>15</x:v>
      </x:c>
      <x:c r="F15" t="n">
        <x:f>'Maturity Scoring'!F5</x:f>
        <x:v>4</x:v>
      </x:c>
    </x:row>
    <x:row r="16">
      <x:c r="A16" t="str">
        <x:v>Respond</x:v>
      </x:c>
      <x:c r="B16" s="32" t="n">
        <x:f>'Maturity Scoring'!B6</x:f>
        <x:v>2.25</x:v>
      </x:c>
      <x:c r="C16" s="32" t="n">
        <x:f>'Maturity Scoring'!C6</x:f>
        <x:v>4</x:v>
      </x:c>
      <x:c r="D16" s="32" t="n">
        <x:f>'Maturity Scoring'!D6</x:f>
        <x:v>1.75</x:v>
      </x:c>
      <x:c r="E16" s="32" t="n">
        <x:f>'Maturity Scoring'!E6</x:f>
        <x:v>14</x:v>
      </x:c>
      <x:c r="F16" t="n">
        <x:f>'Maturity Scoring'!F6</x:f>
        <x:v>4</x:v>
      </x:c>
    </x:row>
    <x:row r="17">
      <x:c r="A17" t="str">
        <x:v>Recover</x:v>
      </x:c>
      <x:c r="B17" s="32" t="n">
        <x:f>'Maturity Scoring'!B7</x:f>
        <x:v>2</x:v>
      </x:c>
      <x:c r="C17" s="32" t="n">
        <x:f>'Maturity Scoring'!C7</x:f>
        <x:v>4</x:v>
      </x:c>
      <x:c r="D17" s="32" t="n">
        <x:f>'Maturity Scoring'!D7</x:f>
        <x:v>2</x:v>
      </x:c>
      <x:c r="E17" s="32" t="n">
        <x:f>'Maturity Scoring'!E7</x:f>
        <x:v>13.666666666666666</x:v>
      </x:c>
      <x:c r="F17" t="n">
        <x:f>'Maturity Scoring'!F7</x:f>
        <x:v>2</x:v>
      </x:c>
    </x:row>
    <x:row r="20">
      <x:c r="A20" s="25" t="str">
        <x:v>Executive Readout</x:v>
      </x:c>
    </x:row>
    <x:row r="21">
      <x:c r="A21" s="20" t="str">
        <x:v>The mock organization demonstrates a developing-to-defined cybersecurity program, with strong foundational controls but inconsistent evidence retention, privileged access review, vendor risk management, tabletop testing, and recovery validation. Highest priority remediation should focus on access governance, incident response testing, vendor risk, backup restore evidence, and asset ownership/criticality tagging.</x:v>
      </x:c>
      <x:c r="B21" s="20"/>
      <x:c r="C21" s="20"/>
      <x:c r="D21" s="20"/>
      <x:c r="E21" s="20"/>
      <x:c r="F21" s="20"/>
    </x:row>
    <x:row r="22">
      <x:c r="A22" s="20"/>
      <x:c r="B22" s="20"/>
      <x:c r="C22" s="20"/>
      <x:c r="D22" s="20"/>
      <x:c r="E22" s="20"/>
      <x:c r="F22" s="20"/>
    </x:row>
    <x:row r="23">
      <x:c r="A23" s="20"/>
      <x:c r="B23" s="20"/>
      <x:c r="C23" s="20"/>
      <x:c r="D23" s="20"/>
      <x:c r="E23" s="20"/>
      <x:c r="F23" s="20"/>
    </x:row>
    <x:row r="24">
      <x:c r="A24" s="20"/>
      <x:c r="B24" s="20"/>
      <x:c r="C24" s="20"/>
      <x:c r="D24" s="20"/>
      <x:c r="E24" s="20"/>
      <x:c r="F24" s="20"/>
    </x:row>
    <x:row r="25">
      <x:c r="A25" s="20"/>
      <x:c r="B25" s="20"/>
      <x:c r="C25" s="20"/>
      <x:c r="D25" s="20"/>
      <x:c r="E25" s="20"/>
      <x:c r="F25" s="20"/>
    </x:row>
  </x:sheetData>
  <x:mergeCells>
    <x:mergeCell ref="A1:H1"/>
    <x:mergeCell ref="A20:F20"/>
    <x:mergeCell ref="A21:F25"/>
  </x:mergeCells>
  <x:pageMargins left="0.7" right="0.7" top="0.75" bottom="0.75" header="0.3" footer="0.3"/>
  <x:drawing xmlns:r="http://schemas.openxmlformats.org/officeDocument/2006/relationships" r:id="R41d3f81a3cf94e86"/>
  <x:tableParts count="1">
    <x:tablePart xmlns:r="http://schemas.openxmlformats.org/officeDocument/2006/relationships" r:id="R8a7100a46a2445fc"/>
  </x:tableParts>
</x:worksheet>
</file>